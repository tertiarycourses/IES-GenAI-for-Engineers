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MEA_Input" sheetId="1" state="visible" r:id="rId1"/>
    <sheet xmlns:r="http://schemas.openxmlformats.org/officeDocument/2006/relationships" name="Rating_Guide" sheetId="2" state="visible" r:id="rId2"/>
    <sheet xmlns:r="http://schemas.openxmlformats.org/officeDocument/2006/relationships" name="Copilot_Promp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02B3E"/>
      <sz val="13"/>
    </font>
    <font>
      <i val="1"/>
      <color rgb="005A6B72"/>
      <sz val="8.5"/>
    </font>
    <font>
      <b val="1"/>
      <color rgb="00FFFFFF"/>
      <sz val="10.5"/>
    </font>
    <font>
      <b val="1"/>
      <color rgb="00102B3E"/>
      <sz val="10"/>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MEAInput" displayName="FMEAInput" ref="A4:M8" headerRowCount="1">
  <autoFilter ref="A4:M8"/>
  <tableColumns count="13">
    <tableColumn id="1" name="ID"/>
    <tableColumn id="2" name="Process step"/>
    <tableColumn id="3" name="Function / requirement"/>
    <tableColumn id="4" name="Failure mode"/>
    <tableColumn id="5" name="Effect"/>
    <tableColumn id="6" name="S"/>
    <tableColumn id="7" name="Cause"/>
    <tableColumn id="8" name="O"/>
    <tableColumn id="9" name="Prevention control"/>
    <tableColumn id="10" name="Detection control"/>
    <tableColumn id="11" name="D"/>
    <tableColumn id="12" name="RPN"/>
    <tableColumn id="13" name="Severity fla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8" customWidth="1" min="1" max="1"/>
    <col width="16" customWidth="1" min="2" max="2"/>
    <col width="26" customWidth="1" min="3" max="3"/>
    <col width="26" customWidth="1" min="4" max="4"/>
    <col width="30" customWidth="1" min="5" max="5"/>
    <col width="5" customWidth="1" min="6" max="6"/>
    <col width="26" customWidth="1" min="7" max="7"/>
    <col width="5" customWidth="1" min="8" max="8"/>
    <col width="22" customWidth="1" min="9" max="9"/>
    <col width="22" customWidth="1" min="10" max="10"/>
    <col width="5" customWidth="1" min="11" max="11"/>
    <col width="8" customWidth="1" min="12" max="12"/>
    <col width="13" customWidth="1" min="13" max="13"/>
  </cols>
  <sheetData>
    <row r="1">
      <c r="A1" s="1" t="inlineStr">
        <is>
          <t>Lab 3.1 · FMEA — CW-401 chemical dosing skid</t>
        </is>
      </c>
    </row>
    <row r="2">
      <c r="A2" s="2" t="inlineStr">
        <is>
          <t>RPN = Severity × Occurrence × Detection.  Detection is inverted: a HIGH D means POOR detection.</t>
        </is>
      </c>
    </row>
    <row r="4">
      <c r="A4" s="3" t="inlineStr">
        <is>
          <t>ID</t>
        </is>
      </c>
      <c r="B4" s="3" t="inlineStr">
        <is>
          <t>Process step</t>
        </is>
      </c>
      <c r="C4" s="3" t="inlineStr">
        <is>
          <t>Function / requirement</t>
        </is>
      </c>
      <c r="D4" s="3" t="inlineStr">
        <is>
          <t>Failure mode</t>
        </is>
      </c>
      <c r="E4" s="3" t="inlineStr">
        <is>
          <t>Effect</t>
        </is>
      </c>
      <c r="F4" s="3" t="inlineStr">
        <is>
          <t>S</t>
        </is>
      </c>
      <c r="G4" s="3" t="inlineStr">
        <is>
          <t>Cause</t>
        </is>
      </c>
      <c r="H4" s="3" t="inlineStr">
        <is>
          <t>O</t>
        </is>
      </c>
      <c r="I4" s="3" t="inlineStr">
        <is>
          <t>Prevention control</t>
        </is>
      </c>
      <c r="J4" s="3" t="inlineStr">
        <is>
          <t>Detection control</t>
        </is>
      </c>
      <c r="K4" s="3" t="inlineStr">
        <is>
          <t>D</t>
        </is>
      </c>
      <c r="L4" s="3" t="inlineStr">
        <is>
          <t>RPN</t>
        </is>
      </c>
      <c r="M4" s="3" t="inlineStr">
        <is>
          <t>Severity flag</t>
        </is>
      </c>
    </row>
    <row r="5" ht="46" customHeight="1">
      <c r="A5" s="4" t="inlineStr">
        <is>
          <t>FM-01</t>
        </is>
      </c>
      <c r="B5" s="4" t="inlineStr">
        <is>
          <t>Dose chemical</t>
        </is>
      </c>
      <c r="C5" s="5" t="inlineStr">
        <is>
          <t>Deliver 60 L/h into the main line</t>
        </is>
      </c>
      <c r="D5" s="5" t="inlineStr">
        <is>
          <t>Under-delivery of dosing chemical</t>
        </is>
      </c>
      <c r="E5" s="5" t="inlineStr">
        <is>
          <t>Residual falls below the treatment target</t>
        </is>
      </c>
      <c r="F5" s="4" t="n">
        <v>7</v>
      </c>
      <c r="G5" s="5" t="inlineStr">
        <is>
          <t>Pump internal wear reduces displacement</t>
        </is>
      </c>
      <c r="H5" s="4" t="n">
        <v>5</v>
      </c>
      <c r="I5" s="5" t="inlineStr">
        <is>
          <t>Scheduled overhaul at 8,000 h</t>
        </is>
      </c>
      <c r="J5" s="5" t="inlineStr">
        <is>
          <t>Weekly manual delivery test</t>
        </is>
      </c>
      <c r="K5" s="4" t="n">
        <v>4</v>
      </c>
      <c r="L5" s="4">
        <f>F5*H5*K5</f>
        <v/>
      </c>
      <c r="M5" s="4">
        <f>IF(F5&gt;=9,"ESCALATE","")</f>
        <v/>
      </c>
    </row>
    <row r="6" ht="46" customHeight="1">
      <c r="A6" s="4" t="inlineStr">
        <is>
          <t>FM-02</t>
        </is>
      </c>
      <c r="B6" s="4" t="inlineStr">
        <is>
          <t>Measure flow</t>
        </is>
      </c>
      <c r="C6" s="5" t="inlineStr">
        <is>
          <t>Report delivered flow to the operator</t>
        </is>
      </c>
      <c r="D6" s="5" t="inlineStr">
        <is>
          <t>Flow transmitter reads high</t>
        </is>
      </c>
      <c r="E6" s="5" t="inlineStr">
        <is>
          <t>Operator believes dosing is correct when it is not</t>
        </is>
      </c>
      <c r="F6" s="4" t="n">
        <v>8</v>
      </c>
      <c r="G6" s="5" t="inlineStr">
        <is>
          <t>Calibration drift between annual checks</t>
        </is>
      </c>
      <c r="H6" s="4" t="n">
        <v>4</v>
      </c>
      <c r="I6" s="5" t="inlineStr">
        <is>
          <t>Annual calibration</t>
        </is>
      </c>
      <c r="J6" s="5" t="inlineStr">
        <is>
          <t>Comparison against manual test</t>
        </is>
      </c>
      <c r="K6" s="4" t="n">
        <v>6</v>
      </c>
      <c r="L6" s="4">
        <f>F6*H6*K6</f>
        <v/>
      </c>
      <c r="M6" s="4">
        <f>IF(F6&gt;=9,"ESCALATE","")</f>
        <v/>
      </c>
    </row>
    <row r="7" ht="46" customHeight="1">
      <c r="A7" s="4" t="inlineStr">
        <is>
          <t>FM-03</t>
        </is>
      </c>
      <c r="B7" s="4" t="inlineStr">
        <is>
          <t>Isolate line</t>
        </is>
      </c>
      <c r="C7" s="5" t="inlineStr">
        <is>
          <t>Prevent backflow into the storage tank</t>
        </is>
      </c>
      <c r="D7" s="5" t="inlineStr">
        <is>
          <t>Check valve fails to seat</t>
        </is>
      </c>
      <c r="E7" s="5" t="inlineStr">
        <is>
          <t>Chemical returns to tank and dilutes strength</t>
        </is>
      </c>
      <c r="F7" s="4" t="n">
        <v>5</v>
      </c>
      <c r="G7" s="5" t="inlineStr">
        <is>
          <t>Seat erosion from particulate</t>
        </is>
      </c>
      <c r="H7" s="4" t="n">
        <v>3</v>
      </c>
      <c r="I7" s="5" t="inlineStr">
        <is>
          <t>Inlet strainer fitted</t>
        </is>
      </c>
      <c r="J7" s="5" t="inlineStr">
        <is>
          <t>Visual inspection at overhaul</t>
        </is>
      </c>
      <c r="K7" s="4" t="n">
        <v>7</v>
      </c>
      <c r="L7" s="4">
        <f>F7*H7*K7</f>
        <v/>
      </c>
      <c r="M7" s="4">
        <f>IF(F7&gt;=9,"ESCALATE","")</f>
        <v/>
      </c>
    </row>
    <row r="8" ht="46" customHeight="1">
      <c r="A8" s="4" t="inlineStr">
        <is>
          <t>FM-04</t>
        </is>
      </c>
      <c r="B8" s="4" t="inlineStr">
        <is>
          <t>Contain chemical</t>
        </is>
      </c>
      <c r="C8" s="5" t="inlineStr">
        <is>
          <t>Retain chemical within the skid bund</t>
        </is>
      </c>
      <c r="D8" s="5" t="inlineStr">
        <is>
          <t>Fitting leaks to the bund</t>
        </is>
      </c>
      <c r="E8" s="5" t="inlineStr">
        <is>
          <t>Chemical exposure risk to the operator</t>
        </is>
      </c>
      <c r="F8" s="4" t="n">
        <v>9</v>
      </c>
      <c r="G8" s="5" t="inlineStr">
        <is>
          <t>Vibration loosens the compression fitting</t>
        </is>
      </c>
      <c r="H8" s="4" t="n">
        <v>2</v>
      </c>
      <c r="I8" s="5" t="inlineStr">
        <is>
          <t>Torque specification at assembly</t>
        </is>
      </c>
      <c r="J8" s="5" t="inlineStr">
        <is>
          <t>Daily operator walk-round</t>
        </is>
      </c>
      <c r="K8" s="4" t="n">
        <v>3</v>
      </c>
      <c r="L8" s="4">
        <f>F8*H8*K8</f>
        <v/>
      </c>
      <c r="M8" s="4">
        <f>IF(F8&gt;=9,"ESCALATE","")</f>
        <v/>
      </c>
    </row>
    <row r="10">
      <c r="A10"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34" customWidth="1" min="2" max="2"/>
    <col width="34" customWidth="1" min="3" max="3"/>
    <col width="44" customWidth="1" min="4" max="4"/>
  </cols>
  <sheetData>
    <row r="1">
      <c r="A1" s="1" t="inlineStr">
        <is>
          <t>Classroom S / O / D rating guide</t>
        </is>
      </c>
    </row>
    <row r="2">
      <c r="A2" s="2" t="inlineStr">
        <is>
          <t>Illustrative teaching scale. Not a published standard.</t>
        </is>
      </c>
    </row>
    <row r="4">
      <c r="A4" s="3" t="inlineStr">
        <is>
          <t>Score</t>
        </is>
      </c>
      <c r="B4" s="3" t="inlineStr">
        <is>
          <t>Severity (S)</t>
        </is>
      </c>
      <c r="C4" s="3" t="inlineStr">
        <is>
          <t>Occurrence (O)</t>
        </is>
      </c>
      <c r="D4" s="3" t="inlineStr">
        <is>
          <t>Detection (D) — high means POOR detection</t>
        </is>
      </c>
    </row>
    <row r="5">
      <c r="A5" s="5" t="inlineStr">
        <is>
          <t>1-2</t>
        </is>
      </c>
      <c r="B5" s="5" t="inlineStr">
        <is>
          <t>No or barely noticeable effect</t>
        </is>
      </c>
      <c r="C5" s="5" t="inlineStr">
        <is>
          <t>Not known to have occurred</t>
        </is>
      </c>
      <c r="D5" s="5" t="inlineStr">
        <is>
          <t>Automatic detection before any effect</t>
        </is>
      </c>
    </row>
    <row r="6">
      <c r="A6" s="5" t="inlineStr">
        <is>
          <t>3-4</t>
        </is>
      </c>
      <c r="B6" s="5" t="inlineStr">
        <is>
          <t>Minor loss of function</t>
        </is>
      </c>
      <c r="C6" s="5" t="inlineStr">
        <is>
          <t>Isolated occurrences</t>
        </is>
      </c>
      <c r="D6" s="5" t="inlineStr">
        <is>
          <t>Automatic alarm with clear response</t>
        </is>
      </c>
    </row>
    <row r="7">
      <c r="A7" s="5" t="inlineStr">
        <is>
          <t>5-6</t>
        </is>
      </c>
      <c r="B7" s="5" t="inlineStr">
        <is>
          <t>Partial loss of function</t>
        </is>
      </c>
      <c r="C7" s="5" t="inlineStr">
        <is>
          <t>Recurs over asset life</t>
        </is>
      </c>
      <c r="D7" s="5" t="inlineStr">
        <is>
          <t>Routine inspection likely to find it</t>
        </is>
      </c>
    </row>
    <row r="8">
      <c r="A8" s="5" t="inlineStr">
        <is>
          <t>7-8</t>
        </is>
      </c>
      <c r="B8" s="5" t="inlineStr">
        <is>
          <t>Major loss of function</t>
        </is>
      </c>
      <c r="C8" s="5" t="inlineStr">
        <is>
          <t>Recurs within a maintenance cycle</t>
        </is>
      </c>
      <c r="D8" s="5" t="inlineStr">
        <is>
          <t>Only found by targeted investigation</t>
        </is>
      </c>
    </row>
    <row r="9">
      <c r="A9" s="5" t="inlineStr">
        <is>
          <t>9-10</t>
        </is>
      </c>
      <c r="B9" s="5" t="inlineStr">
        <is>
          <t>Potential safety or environmental harm</t>
        </is>
      </c>
      <c r="C9" s="5" t="inlineStr">
        <is>
          <t>Near certain within normal operation</t>
        </is>
      </c>
      <c r="D9" s="5" t="inlineStr">
        <is>
          <t>No credible detection before failure</t>
        </is>
      </c>
    </row>
    <row r="11">
      <c r="A11" s="6" t="inlineStr">
        <is>
          <t>Rule: any row with Severity 9 or higher is escalated for separate review whatever its RPN. A low RPN never cancels a high Severity.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FMEAInput table before opening Copilot.</t>
        </is>
      </c>
    </row>
    <row r="4" ht="330" customHeight="1">
      <c r="A4" s="7" t="inlineStr">
        <is>
          <t>ROLE
Act as an FMEA facilitator supporting a competent engineer. You draft; you never approve.
INPUT
Use only the named Excel table FMEAInput on the FMEA_Input sheet, and the classroom scale on
the Rating_Guide sheet. Do not use outside knowledge and do not add rows.
STEPS
1. Preserve all four supplied rows and every supplied S, O and D rating exactly as given.
2. Calculate RPN = Severity x Occurrence x Detection for each row and show the arithmetic,
   for example 7 x 5 x 4 = 140.
3. Rank the four rows from highest to lowest RPN.
4. Separately flag every row with Severity 9 or higher under the heading
   ESCALATE FOR SEPARATE REVIEW, whatever its RPN.
5. Insert a clustered column chart of RPN by failure mode ID.
6. For each row give one evidence request and one practical follow-up action.
EXPECTATIONS
Return a table with the supplied columns plus RPN and Severity flag, then the ranked list,
then the escalation list, then the actions. Show the RPN formula once in words. Do not invent
incidents, causes, owners or dates. Do not change a rating. Do not state that the skid is safe
or fit for service. Note that a high Detection number means POOR detectability.
End with the unresolved questions and the words DRAFT FOR REVIEW.
INDEPENDENT CHECK
Verify FM-01 by hand: 7 x 5 x 4 = 140. Confirm FM-04 is escalated on Severity 9 even though
its RPN is the lowest of the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