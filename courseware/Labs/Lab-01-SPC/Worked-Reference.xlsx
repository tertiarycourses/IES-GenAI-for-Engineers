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9.xml" ContentType="application/vnd.openxmlformats-officedocument.spreadsheetml.comment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6.xml" ContentType="application/vnd.openxmlformats-officedocument.spreadsheetml.table+xml"/>
  <Override PartName="/xl/tables/table1.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2.xml" ContentType="application/vnd.openxmlformats-officedocument.spreadsheetml.comments+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xl/comments14.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theme/theme1.xml" ContentType="application/vnd.openxmlformats-officedocument.theme+xml"/>
  <Override PartName="/xl/comments13.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1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RawTests" sheetId="2" state="visible" r:id="rId4"/>
    <sheet name="ValidTests" sheetId="3" state="visible" r:id="rId5"/>
    <sheet name="Evidence" sheetId="4" state="visible" r:id="rId6"/>
    <sheet name="FMEA_Input" sheetId="5" state="visible" r:id="rId7"/>
    <sheet name="WeeklyEvents" sheetId="6" state="visible" r:id="rId8"/>
    <sheet name="DefectCounts" sheetId="7" state="visible" r:id="rId9"/>
    <sheet name="Parameters" sheetId="8" state="visible" r:id="rId10"/>
    <sheet name="ScoringNote" sheetId="9" state="visible" r:id="rId11"/>
    <sheet name="Prompts" sheetId="10" state="visible" r:id="rId12"/>
    <sheet name="QualityAudit" sheetId="11" state="visible" r:id="rId13"/>
    <sheet name="Analysis" sheetId="12" state="visible" r:id="rId14"/>
    <sheet name="SPC_Summary" sheetId="13" state="visible" r:id="rId15"/>
    <sheet name="FMEA_Review" sheetId="14" state="visible" r:id="rId16"/>
    <sheet name="DMAIC" sheetId="15" state="visible" r:id="rId17"/>
    <sheet name="ControlPlan" sheetId="16" state="visible" r:id="rId18"/>
    <sheet name="Evaluation" sheetId="17" state="visible" r:id="rId19"/>
    <sheet name="Rate_Comparison" sheetId="18" state="visible" r:id="rId20"/>
    <sheet name="Pareto" sheetId="19" state="visible" r:id="rId21"/>
  </sheets>
  <calcPr iterateCount="100" refMode="A1" iterate="false" iterateDelta="0.0001"/>
  <extLst>
    <ext xmlns:loext="http://schemas.libreoffice.org/" uri="{7626C862-2A13-11E5-B345-FEFF819CDC9F}">
      <loext:extCalcPr stringRefSyntax="ExcelA1"/>
    </ext>
  </extLst>
</workbook>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G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A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A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List>
</comments>
</file>

<file path=xl/sharedStrings.xml><?xml version="1.0" encoding="utf-8"?>
<sst xmlns="http://schemas.openxmlformats.org/spreadsheetml/2006/main" count="2632" uniqueCount="542">
  <si>
    <t xml:space="preserve">IES GenAI for Engineers</t>
  </si>
  <si>
    <t xml:space="preserve">v2.0 | Three-lab Excel workshop</t>
  </si>
  <si>
    <t xml:space="preserve">Status</t>
  </si>
  <si>
    <t xml:space="preserve">IES | Original synthetic CW-401 engineering case. Values and limits are fictional teaching assumptions, not plant operating instructions. Generated references are independently calculated examples, not recorded Copilot executions.</t>
  </si>
  <si>
    <t xml:space="preserve">How to use</t>
  </si>
  <si>
    <t xml:space="preserve">Save a working copy of Starter.xlsx to your approved OneDrive or SharePoint location. Open it in Excel with your work/school account and use the Copilot side pane. Select the named table before prompting. If Copilot cannot edit, request the formula and insert it manually; record the fallback. Confirm tenant entitlement and supported workbook format before class. Keep the local raw files unchanged.</t>
  </si>
  <si>
    <t xml:space="preserve">Workbook prompts</t>
  </si>
  <si>
    <t xml:space="preserve">Trainer-authored prompts in Prompts. The previously mentioned external Excel prompt file has not been supplied; these are not attributed to that file.</t>
  </si>
  <si>
    <t xml:space="preserve">Case</t>
  </si>
  <si>
    <t xml:space="preserve"> industrial cooling-water utility uses duty/standby metering pumps DP-401A/B. The workshop CTQ is measured delivery during a standardised collection test at fixed commanded setting. The design-note teaching target is 62.0 L/h with an acceptance band of 58.9–65.1 L/h; this is a delivery-test specification, not a chemical dose or water-quality compliance limit. Chemical identity and operating procedures are deliberately outside the case.
A repeatability study and comparison of pump delivery are needed before a maintenance recommendation. The team has 60 baseline collection tests, 30 subsequent monitoring tests and 30 post-intervention pilot tests. Collection volume is measured over 120 seconds; delivery L/h = collected litres × 30. The command setting is fixed for comparability; shift and pump identity are retained to detect confounding.
The monitoring period includes a sustained delivery reduction coinciding with a differential-pressure increase. A work order records inspection and a strainer replacement before the pilot. This temporal association does not isolate root cause: the pilot also follows a verification check, so intervention effects are confounded. No randomised causal claim is justified.
</t>
  </si>
  <si>
    <t xml:space="preserve">Worked reference</t>
  </si>
  <si>
    <t xml:space="preserve">Illustrative formulas and charts, independently computed; not an actual Copilot session.</t>
  </si>
  <si>
    <t xml:space="preserve">test_id</t>
  </si>
  <si>
    <t xml:space="preserve">timestamp_SGT</t>
  </si>
  <si>
    <t xml:space="preserve">phase</t>
  </si>
  <si>
    <t xml:space="preserve">shift</t>
  </si>
  <si>
    <t xml:space="preserve">pump_tag</t>
  </si>
  <si>
    <t xml:space="preserve">flow_instrument</t>
  </si>
  <si>
    <t xml:space="preserve">collection_vessel</t>
  </si>
  <si>
    <t xml:space="preserve">commanded_L_h</t>
  </si>
  <si>
    <t xml:space="preserve">collected_L</t>
  </si>
  <si>
    <t xml:space="preserve">duration_s</t>
  </si>
  <si>
    <t xml:space="preserve">strainer_dp_bar</t>
  </si>
  <si>
    <t xml:space="preserve">ambient_C</t>
  </si>
  <si>
    <t xml:space="preserve">quality_flag</t>
  </si>
  <si>
    <t xml:space="preserve">calibration_record</t>
  </si>
  <si>
    <t xml:space="preserve">TEST-001</t>
  </si>
  <si>
    <t xml:space="preserve">2026-08-03T07:00:00+08:00</t>
  </si>
  <si>
    <t xml:space="preserve">baseline</t>
  </si>
  <si>
    <t xml:space="preserve">DAY</t>
  </si>
  <si>
    <t xml:space="preserve">DP-401A</t>
  </si>
  <si>
    <t xml:space="preserve">FT-401</t>
  </si>
  <si>
    <t xml:space="preserve">CV-401</t>
  </si>
  <si>
    <t xml:space="preserve">VALID</t>
  </si>
  <si>
    <t xml:space="preserve">CAL-401-08</t>
  </si>
  <si>
    <t xml:space="preserve">TEST-002</t>
  </si>
  <si>
    <t xml:space="preserve">2026-08-03T11:00:00+08:00</t>
  </si>
  <si>
    <t xml:space="preserve">TEST-003</t>
  </si>
  <si>
    <t xml:space="preserve">2026-08-03T15:00:00+08:00</t>
  </si>
  <si>
    <t xml:space="preserve">TEST-004</t>
  </si>
  <si>
    <t xml:space="preserve">2026-08-03T19:00:00+08:00</t>
  </si>
  <si>
    <t xml:space="preserve">TEST-005</t>
  </si>
  <si>
    <t xml:space="preserve">2026-08-03T23:00:00+08:00</t>
  </si>
  <si>
    <t xml:space="preserve">TEST-006</t>
  </si>
  <si>
    <t xml:space="preserve">2026-08-04T03:00:00+08:00</t>
  </si>
  <si>
    <t xml:space="preserve">TEST-007</t>
  </si>
  <si>
    <t xml:space="preserve">2026-08-04T07:00:00+08:00</t>
  </si>
  <si>
    <t xml:space="preserve">NIGHT</t>
  </si>
  <si>
    <t xml:space="preserve">TEST-008</t>
  </si>
  <si>
    <t xml:space="preserve">2026-08-04T11:00:00+08:00</t>
  </si>
  <si>
    <t xml:space="preserve">TEST-009</t>
  </si>
  <si>
    <t xml:space="preserve">2026-08-04T15:00:00+08:00</t>
  </si>
  <si>
    <t xml:space="preserve">TEST-010</t>
  </si>
  <si>
    <t xml:space="preserve">2026-08-04T19:00:00+08:00</t>
  </si>
  <si>
    <t xml:space="preserve">TEST-011</t>
  </si>
  <si>
    <t xml:space="preserve">2026-08-04T23:00:00+08:00</t>
  </si>
  <si>
    <t xml:space="preserve">TEST-012</t>
  </si>
  <si>
    <t xml:space="preserve">2026-08-05T03:00:00+08:00</t>
  </si>
  <si>
    <t xml:space="preserve">TEST-013</t>
  </si>
  <si>
    <t xml:space="preserve">2026-08-05T07:00:00+08:00</t>
  </si>
  <si>
    <t xml:space="preserve">TEST-014</t>
  </si>
  <si>
    <t xml:space="preserve">2026-08-05T11:00:00+08:00</t>
  </si>
  <si>
    <t xml:space="preserve">TEST-015</t>
  </si>
  <si>
    <t xml:space="preserve">2026-08-05T15:00:00+08:00</t>
  </si>
  <si>
    <t xml:space="preserve">TEST-016</t>
  </si>
  <si>
    <t xml:space="preserve">2026-08-05T19:00:00+08:00</t>
  </si>
  <si>
    <t xml:space="preserve">TEST-017</t>
  </si>
  <si>
    <t xml:space="preserve">2026-08-05T23:00:00+08:00</t>
  </si>
  <si>
    <t xml:space="preserve">TEST-018</t>
  </si>
  <si>
    <t xml:space="preserve">2026-08-06T03:00:00+08:00</t>
  </si>
  <si>
    <t xml:space="preserve">TEST-019</t>
  </si>
  <si>
    <t xml:space="preserve">2026-08-06T07:00:00+08:00</t>
  </si>
  <si>
    <t xml:space="preserve">TEST-020</t>
  </si>
  <si>
    <t xml:space="preserve">2026-08-06T11:00:00+08:00</t>
  </si>
  <si>
    <t xml:space="preserve">TEST-021</t>
  </si>
  <si>
    <t xml:space="preserve">2026-08-06T15:00:00+08:00</t>
  </si>
  <si>
    <t xml:space="preserve">TEST-022</t>
  </si>
  <si>
    <t xml:space="preserve">2026-08-06T19:00:00+08:00</t>
  </si>
  <si>
    <t xml:space="preserve">TEST-023</t>
  </si>
  <si>
    <t xml:space="preserve">2026-08-06T23:00:00+08:00</t>
  </si>
  <si>
    <t xml:space="preserve">TEST-024</t>
  </si>
  <si>
    <t xml:space="preserve">2026-08-07T03:00:00+08:00</t>
  </si>
  <si>
    <t xml:space="preserve">TEST-025</t>
  </si>
  <si>
    <t xml:space="preserve">2026-08-07T07:00:00+08:00</t>
  </si>
  <si>
    <t xml:space="preserve">TEST-026</t>
  </si>
  <si>
    <t xml:space="preserve">2026-08-07T11:00:00+08:00</t>
  </si>
  <si>
    <t xml:space="preserve">TEST-027</t>
  </si>
  <si>
    <t xml:space="preserve">2026-08-07T15:00:00+08:00</t>
  </si>
  <si>
    <t xml:space="preserve">TEST-028</t>
  </si>
  <si>
    <t xml:space="preserve">2026-08-07T19:00:00+08:00</t>
  </si>
  <si>
    <t xml:space="preserve">TEST-029</t>
  </si>
  <si>
    <t xml:space="preserve">2026-08-07T23:00:00+08:00</t>
  </si>
  <si>
    <t xml:space="preserve">TEST-030</t>
  </si>
  <si>
    <t xml:space="preserve">2026-08-08T03:00:00+08:00</t>
  </si>
  <si>
    <t xml:space="preserve">TEST-031</t>
  </si>
  <si>
    <t xml:space="preserve">2026-08-08T07:00:00+08:00</t>
  </si>
  <si>
    <t xml:space="preserve">TEST-032</t>
  </si>
  <si>
    <t xml:space="preserve">2026-08-08T11:00:00+08:00</t>
  </si>
  <si>
    <t xml:space="preserve">TEST-033</t>
  </si>
  <si>
    <t xml:space="preserve">2026-08-08T15:00:00+08:00</t>
  </si>
  <si>
    <t xml:space="preserve">TEST-034</t>
  </si>
  <si>
    <t xml:space="preserve">2026-08-08T19:00:00+08:00</t>
  </si>
  <si>
    <t xml:space="preserve">TEST-035</t>
  </si>
  <si>
    <t xml:space="preserve">2026-08-08T23:00:00+08:00</t>
  </si>
  <si>
    <t xml:space="preserve">TEST-036</t>
  </si>
  <si>
    <t xml:space="preserve">2026-08-09T03:00:00+08:00</t>
  </si>
  <si>
    <t xml:space="preserve">TEST-037</t>
  </si>
  <si>
    <t xml:space="preserve">2026-08-09T07:00:00+08:00</t>
  </si>
  <si>
    <t xml:space="preserve">TEST-038</t>
  </si>
  <si>
    <t xml:space="preserve">2026-08-09T11:00:00+08:00</t>
  </si>
  <si>
    <t xml:space="preserve">TEST-039</t>
  </si>
  <si>
    <t xml:space="preserve">2026-08-09T15:00:00+08:00</t>
  </si>
  <si>
    <t xml:space="preserve">TEST-040</t>
  </si>
  <si>
    <t xml:space="preserve">2026-08-09T19:00:00+08:00</t>
  </si>
  <si>
    <t xml:space="preserve">TEST-041</t>
  </si>
  <si>
    <t xml:space="preserve">2026-08-09T23:00:00+08:00</t>
  </si>
  <si>
    <t xml:space="preserve">TEST-042</t>
  </si>
  <si>
    <t xml:space="preserve">2026-08-10T03:00:00+08:00</t>
  </si>
  <si>
    <t xml:space="preserve">TEST-043</t>
  </si>
  <si>
    <t xml:space="preserve">2026-08-10T07:00:00+08:00</t>
  </si>
  <si>
    <t xml:space="preserve">TEST-044</t>
  </si>
  <si>
    <t xml:space="preserve">2026-08-10T11:00:00+08:00</t>
  </si>
  <si>
    <t xml:space="preserve">TEST-045</t>
  </si>
  <si>
    <t xml:space="preserve">2026-08-10T15:00:00+08:00</t>
  </si>
  <si>
    <t xml:space="preserve">TEST-046</t>
  </si>
  <si>
    <t xml:space="preserve">2026-08-10T19:00:00+08:00</t>
  </si>
  <si>
    <t xml:space="preserve">TEST-047</t>
  </si>
  <si>
    <t xml:space="preserve">2026-08-10T23:00:00+08:00</t>
  </si>
  <si>
    <t xml:space="preserve">TEST-048</t>
  </si>
  <si>
    <t xml:space="preserve">2026-08-11T03:00:00+08:00</t>
  </si>
  <si>
    <t xml:space="preserve">TEST-049</t>
  </si>
  <si>
    <t xml:space="preserve">2026-08-11T07:00:00+08:00</t>
  </si>
  <si>
    <t xml:space="preserve">TEST-050</t>
  </si>
  <si>
    <t xml:space="preserve">2026-08-11T11:00:00+08:00</t>
  </si>
  <si>
    <t xml:space="preserve">TEST-051</t>
  </si>
  <si>
    <t xml:space="preserve">2026-08-11T15:00:00+08:00</t>
  </si>
  <si>
    <t xml:space="preserve">TEST-052</t>
  </si>
  <si>
    <t xml:space="preserve">2026-08-11T19:00:00+08:00</t>
  </si>
  <si>
    <t xml:space="preserve">TEST-053</t>
  </si>
  <si>
    <t xml:space="preserve">2026-08-11T23:00:00+08:00</t>
  </si>
  <si>
    <t xml:space="preserve">TEST-054</t>
  </si>
  <si>
    <t xml:space="preserve">2026-08-12T03:00:00+08:00</t>
  </si>
  <si>
    <t xml:space="preserve">TEST-055</t>
  </si>
  <si>
    <t xml:space="preserve">2026-08-12T07:00:00+08:00</t>
  </si>
  <si>
    <t xml:space="preserve">TEST-056</t>
  </si>
  <si>
    <t xml:space="preserve">2026-08-12T11:00:00+08:00</t>
  </si>
  <si>
    <t xml:space="preserve">TEST-057</t>
  </si>
  <si>
    <t xml:space="preserve">2026-08-12T15:00:00+08:00</t>
  </si>
  <si>
    <t xml:space="preserve">TEST-058</t>
  </si>
  <si>
    <t xml:space="preserve">2026-08-12T19:00:00+08:00</t>
  </si>
  <si>
    <t xml:space="preserve">TEST-059</t>
  </si>
  <si>
    <t xml:space="preserve">2026-08-12T23:00:00+08:00</t>
  </si>
  <si>
    <t xml:space="preserve">TEST-060</t>
  </si>
  <si>
    <t xml:space="preserve">2026-08-13T03:00:00+08:00</t>
  </si>
  <si>
    <t xml:space="preserve">TEST-061</t>
  </si>
  <si>
    <t xml:space="preserve">2026-08-13T07:00:00+08:00</t>
  </si>
  <si>
    <t xml:space="preserve">monitoring</t>
  </si>
  <si>
    <t xml:space="preserve">TEST-062</t>
  </si>
  <si>
    <t xml:space="preserve">2026-08-13T11:00:00+08:00</t>
  </si>
  <si>
    <t xml:space="preserve">TEST-063</t>
  </si>
  <si>
    <t xml:space="preserve">2026-08-13T15:00:00+08:00</t>
  </si>
  <si>
    <t xml:space="preserve">TEST-064</t>
  </si>
  <si>
    <t xml:space="preserve">2026-08-13T19:00:00+08:00</t>
  </si>
  <si>
    <t xml:space="preserve">TEST-065</t>
  </si>
  <si>
    <t xml:space="preserve">2026-08-13T23:00:00+08:00</t>
  </si>
  <si>
    <t xml:space="preserve">TEST-066</t>
  </si>
  <si>
    <t xml:space="preserve">2026-08-14T03:00:00+08:00</t>
  </si>
  <si>
    <t xml:space="preserve">TEST-067</t>
  </si>
  <si>
    <t xml:space="preserve">2026-08-14T07:00:00+08:00</t>
  </si>
  <si>
    <t xml:space="preserve">TEST-068</t>
  </si>
  <si>
    <t xml:space="preserve">2026-08-14T11:00:00+08:00</t>
  </si>
  <si>
    <t xml:space="preserve">MISSING_VOLUME</t>
  </si>
  <si>
    <t xml:space="preserve">TEST-069</t>
  </si>
  <si>
    <t xml:space="preserve">2026-08-14T15:00:00+08:00</t>
  </si>
  <si>
    <t xml:space="preserve">TEST-070</t>
  </si>
  <si>
    <t xml:space="preserve">2026-08-14T19:00:00+08:00</t>
  </si>
  <si>
    <t xml:space="preserve">TEST-071</t>
  </si>
  <si>
    <t xml:space="preserve">2026-08-14T23:00:00+08:00</t>
  </si>
  <si>
    <t xml:space="preserve">TEST-072</t>
  </si>
  <si>
    <t xml:space="preserve">2026-08-15T03:00:00+08:00</t>
  </si>
  <si>
    <t xml:space="preserve">TEST-073</t>
  </si>
  <si>
    <t xml:space="preserve">2026-08-15T07:00:00+08:00</t>
  </si>
  <si>
    <t xml:space="preserve">TEST-074</t>
  </si>
  <si>
    <t xml:space="preserve">2026-08-15T11:00:00+08:00</t>
  </si>
  <si>
    <t xml:space="preserve">TEST-075</t>
  </si>
  <si>
    <t xml:space="preserve">2026-08-15T15:00:00+08:00</t>
  </si>
  <si>
    <t xml:space="preserve">TEST-076</t>
  </si>
  <si>
    <t xml:space="preserve">2026-08-15T19:00:00+08:00</t>
  </si>
  <si>
    <t xml:space="preserve">TEST-077</t>
  </si>
  <si>
    <t xml:space="preserve">2026-08-15T23:00:00+08:00</t>
  </si>
  <si>
    <t xml:space="preserve">TEST-078</t>
  </si>
  <si>
    <t xml:space="preserve">2026-08-16T03:00:00+08:00</t>
  </si>
  <si>
    <t xml:space="preserve">TEST-079</t>
  </si>
  <si>
    <t xml:space="preserve">2026-08-16T07:00:00+08:00</t>
  </si>
  <si>
    <t xml:space="preserve">TEST-080</t>
  </si>
  <si>
    <t xml:space="preserve">2026-08-16T11:00:00+08:00</t>
  </si>
  <si>
    <t xml:space="preserve">TEST-081</t>
  </si>
  <si>
    <t xml:space="preserve">2026-08-16T15:00:00+08:00</t>
  </si>
  <si>
    <t xml:space="preserve">TEST-082</t>
  </si>
  <si>
    <t xml:space="preserve">2026-08-16T19:00:00+08:00</t>
  </si>
  <si>
    <t xml:space="preserve">TEST-083</t>
  </si>
  <si>
    <t xml:space="preserve">2026-08-16T23:00:00+08:00</t>
  </si>
  <si>
    <t xml:space="preserve">INVALID_DURATION</t>
  </si>
  <si>
    <t xml:space="preserve">TEST-084</t>
  </si>
  <si>
    <t xml:space="preserve">2026-08-17T03:00:00+08:00</t>
  </si>
  <si>
    <t xml:space="preserve">TEST-085</t>
  </si>
  <si>
    <t xml:space="preserve">2026-08-17T07:00:00+08:00</t>
  </si>
  <si>
    <t xml:space="preserve">TEST-086</t>
  </si>
  <si>
    <t xml:space="preserve">2026-08-17T11:00:00+08:00</t>
  </si>
  <si>
    <t xml:space="preserve">TEST-087</t>
  </si>
  <si>
    <t xml:space="preserve">2026-08-17T15:00:00+08:00</t>
  </si>
  <si>
    <t xml:space="preserve">TEST-088</t>
  </si>
  <si>
    <t xml:space="preserve">2026-08-17T19:00:00+08:00</t>
  </si>
  <si>
    <t xml:space="preserve">TEST-089</t>
  </si>
  <si>
    <t xml:space="preserve">2026-08-17T23:00:00+08:00</t>
  </si>
  <si>
    <t xml:space="preserve">TEST-090</t>
  </si>
  <si>
    <t xml:space="preserve">2026-08-18T03:00:00+08:00</t>
  </si>
  <si>
    <t xml:space="preserve">TEST-091</t>
  </si>
  <si>
    <t xml:space="preserve">2026-08-18T07:00:00+08:00</t>
  </si>
  <si>
    <t xml:space="preserve">pilot</t>
  </si>
  <si>
    <t xml:space="preserve">TEST-092</t>
  </si>
  <si>
    <t xml:space="preserve">2026-08-18T11:00:00+08:00</t>
  </si>
  <si>
    <t xml:space="preserve">TEST-093</t>
  </si>
  <si>
    <t xml:space="preserve">2026-08-18T15:00:00+08:00</t>
  </si>
  <si>
    <t xml:space="preserve">TEST-094</t>
  </si>
  <si>
    <t xml:space="preserve">2026-08-18T19:00:00+08:00</t>
  </si>
  <si>
    <t xml:space="preserve">TEST-095</t>
  </si>
  <si>
    <t xml:space="preserve">2026-08-18T23:00:00+08:00</t>
  </si>
  <si>
    <t xml:space="preserve">TEST-096</t>
  </si>
  <si>
    <t xml:space="preserve">2026-08-19T03:00:00+08:00</t>
  </si>
  <si>
    <t xml:space="preserve">TEST-097</t>
  </si>
  <si>
    <t xml:space="preserve">2026-08-19T07:00:00+08:00</t>
  </si>
  <si>
    <t xml:space="preserve">TEST-098</t>
  </si>
  <si>
    <t xml:space="preserve">2026-08-19T11:00:00+08:00</t>
  </si>
  <si>
    <t xml:space="preserve">TEST-099</t>
  </si>
  <si>
    <t xml:space="preserve">2026-08-19T15:00:00+08:00</t>
  </si>
  <si>
    <t xml:space="preserve">TEST-100</t>
  </si>
  <si>
    <t xml:space="preserve">2026-08-19T19:00:00+08:00</t>
  </si>
  <si>
    <t xml:space="preserve">TEST-101</t>
  </si>
  <si>
    <t xml:space="preserve">2026-08-19T23:00:00+08:00</t>
  </si>
  <si>
    <t xml:space="preserve">TEST-102</t>
  </si>
  <si>
    <t xml:space="preserve">2026-08-20T03:00:00+08:00</t>
  </si>
  <si>
    <t xml:space="preserve">TEST-103</t>
  </si>
  <si>
    <t xml:space="preserve">2026-08-20T07:00:00+08:00</t>
  </si>
  <si>
    <t xml:space="preserve">TEST-104</t>
  </si>
  <si>
    <t xml:space="preserve">2026-08-20T11:00:00+08:00</t>
  </si>
  <si>
    <t xml:space="preserve">TEST-105</t>
  </si>
  <si>
    <t xml:space="preserve">2026-08-20T15:00:00+08:00</t>
  </si>
  <si>
    <t xml:space="preserve">TEST-106</t>
  </si>
  <si>
    <t xml:space="preserve">2026-08-20T19:00:00+08:00</t>
  </si>
  <si>
    <t xml:space="preserve">TEST-107</t>
  </si>
  <si>
    <t xml:space="preserve">2026-08-20T23:00:00+08:00</t>
  </si>
  <si>
    <t xml:space="preserve">TEST-108</t>
  </si>
  <si>
    <t xml:space="preserve">2026-08-21T03:00:00+08:00</t>
  </si>
  <si>
    <t xml:space="preserve">TEST-109</t>
  </si>
  <si>
    <t xml:space="preserve">2026-08-21T07:00:00+08:00</t>
  </si>
  <si>
    <t xml:space="preserve">TEST-110</t>
  </si>
  <si>
    <t xml:space="preserve">2026-08-21T11:00:00+08:00</t>
  </si>
  <si>
    <t xml:space="preserve">TEST-111</t>
  </si>
  <si>
    <t xml:space="preserve">2026-08-21T15:00:00+08:00</t>
  </si>
  <si>
    <t xml:space="preserve">TEST-112</t>
  </si>
  <si>
    <t xml:space="preserve">2026-08-21T19:00:00+08:00</t>
  </si>
  <si>
    <t xml:space="preserve">TEST-113</t>
  </si>
  <si>
    <t xml:space="preserve">2026-08-21T23:00:00+08:00</t>
  </si>
  <si>
    <t xml:space="preserve">TEST-114</t>
  </si>
  <si>
    <t xml:space="preserve">2026-08-22T03:00:00+08:00</t>
  </si>
  <si>
    <t xml:space="preserve">TEST-115</t>
  </si>
  <si>
    <t xml:space="preserve">2026-08-22T07:00:00+08:00</t>
  </si>
  <si>
    <t xml:space="preserve">TEST-116</t>
  </si>
  <si>
    <t xml:space="preserve">2026-08-22T11:00:00+08:00</t>
  </si>
  <si>
    <t xml:space="preserve">TEST-117</t>
  </si>
  <si>
    <t xml:space="preserve">2026-08-22T15:00:00+08:00</t>
  </si>
  <si>
    <t xml:space="preserve">TEST-118</t>
  </si>
  <si>
    <t xml:space="preserve">2026-08-22T19:00:00+08:00</t>
  </si>
  <si>
    <t xml:space="preserve">TEST-119</t>
  </si>
  <si>
    <t xml:space="preserve">2026-08-22T23:00:00+08:00</t>
  </si>
  <si>
    <t xml:space="preserve">TEST-120</t>
  </si>
  <si>
    <t xml:space="preserve">2026-08-23T03:00:00+08:00</t>
  </si>
  <si>
    <t xml:space="preserve">delivery_L_h</t>
  </si>
  <si>
    <t xml:space="preserve">record_id</t>
  </si>
  <si>
    <t xml:space="preserve">type</t>
  </si>
  <si>
    <t xml:space="preserve">revision</t>
  </si>
  <si>
    <t xml:space="preserve">timestamp_or_date</t>
  </si>
  <si>
    <t xml:space="preserve">status</t>
  </si>
  <si>
    <t xml:space="preserve">content</t>
  </si>
  <si>
    <t xml:space="preserve">DOC-401</t>
  </si>
  <si>
    <t xml:space="preserve">DESIGN</t>
  </si>
  <si>
    <t xml:space="preserve">2026-08-01</t>
  </si>
  <si>
    <t xml:space="preserve">Current</t>
  </si>
  <si>
    <t xml:space="preserve">Teaching delivery target62 L/h; band58.9–65.1; fixed command and120s collection.</t>
  </si>
  <si>
    <t xml:space="preserve">2026-07-01</t>
  </si>
  <si>
    <t xml:space="preserve">Obsolete</t>
  </si>
  <si>
    <t xml:space="preserve">Teaching target60 L/h; superseded byrev2.</t>
  </si>
  <si>
    <t xml:space="preserve">INSTRUMENT</t>
  </si>
  <si>
    <t xml:space="preserve">Training evidence</t>
  </si>
  <si>
    <t xml:space="preserve">Collection vessel check recorded before baseline; measurement-system adequacy not certified.</t>
  </si>
  <si>
    <t xml:space="preserve">EV-401-01</t>
  </si>
  <si>
    <t xml:space="preserve">EVENT</t>
  </si>
  <si>
    <t xml:space="preserve">Observation</t>
  </si>
  <si>
    <t xml:space="preserve">Differential pressure increase and reduced test delivery appear in same period; no cause confirmed.</t>
  </si>
  <si>
    <t xml:space="preserve">WO-401-17</t>
  </si>
  <si>
    <t xml:space="preserve">MAINTENANCE</t>
  </si>
  <si>
    <t xml:space="preserve">2026-08-18T05:00:00+08:00</t>
  </si>
  <si>
    <t xml:space="preserve">Recorded complete</t>
  </si>
  <si>
    <t xml:space="preserve">Strainer replaced and verification check performed beforepilot; two changes confound causal attribution.</t>
  </si>
  <si>
    <t xml:space="preserve">ACT-401-04</t>
  </si>
  <si>
    <t xml:space="preserve">ACTION</t>
  </si>
  <si>
    <t xml:space="preserve">2026-08-24</t>
  </si>
  <si>
    <t xml:space="preserve">Open</t>
  </si>
  <si>
    <t xml:space="preserve">EngineerR to review removed strainer evidence; no contamination result supplied.</t>
  </si>
  <si>
    <t xml:space="preserve">mode_id</t>
  </si>
  <si>
    <t xml:space="preserve">function</t>
  </si>
  <si>
    <t xml:space="preserve">failure_mode</t>
  </si>
  <si>
    <t xml:space="preserve">effect</t>
  </si>
  <si>
    <t xml:space="preserve">potential_cause</t>
  </si>
  <si>
    <t xml:space="preserve">current_control</t>
  </si>
  <si>
    <t xml:space="preserve">evidence</t>
  </si>
  <si>
    <t xml:space="preserve">S_provisional</t>
  </si>
  <si>
    <t xml:space="preserve">O_provisional</t>
  </si>
  <si>
    <t xml:space="preserve">D_provisional</t>
  </si>
  <si>
    <t xml:space="preserve">proposed_action</t>
  </si>
  <si>
    <t xml:space="preserve">role_owner</t>
  </si>
  <si>
    <t xml:space="preserve">FM01</t>
  </si>
  <si>
    <t xml:space="preserve">Meter delivery</t>
  </si>
  <si>
    <t xml:space="preserve">Low delivery</t>
  </si>
  <si>
    <t xml:space="preserve">Insufficient treatment feed</t>
  </si>
  <si>
    <t xml:space="preserve">Restriction hypothesis</t>
  </si>
  <si>
    <t xml:space="preserve">Periodic collection test</t>
  </si>
  <si>
    <t xml:space="preserve">EV-401-01; TEST-073–090</t>
  </si>
  <si>
    <t xml:space="preserve">Review removed-strainer evidence</t>
  </si>
  <si>
    <t xml:space="preserve">Reliability lead</t>
  </si>
  <si>
    <t xml:space="preserve">FM02</t>
  </si>
  <si>
    <t xml:space="preserve">Excess delivery</t>
  </si>
  <si>
    <t xml:space="preserve">Excess treatment feed</t>
  </si>
  <si>
    <t xml:space="preserve">Wrong setting hypothesis</t>
  </si>
  <si>
    <t xml:space="preserve">Setting log review</t>
  </si>
  <si>
    <t xml:space="preserve">No occurrence evidence in supplied tests</t>
  </si>
  <si>
    <t xml:space="preserve">Review setting change controls</t>
  </si>
  <si>
    <t xml:space="preserve">Operations lead</t>
  </si>
  <si>
    <t xml:space="preserve">FM03</t>
  </si>
  <si>
    <t xml:space="preserve">Indicate delivery</t>
  </si>
  <si>
    <t xml:space="preserve">Misleading reading</t>
  </si>
  <si>
    <t xml:space="preserve">Wrong process decision</t>
  </si>
  <si>
    <t xml:space="preserve">Instrument or measurement bias</t>
  </si>
  <si>
    <t xml:space="preserve">Vessel verification record</t>
  </si>
  <si>
    <t xml:space="preserve">CAL-401-08; adequacy not established</t>
  </si>
  <si>
    <t xml:space="preserve">Perform approved measurement-system review</t>
  </si>
  <si>
    <t xml:space="preserve">Instrumentation lead</t>
  </si>
  <si>
    <t xml:space="preserve">FM04</t>
  </si>
  <si>
    <t xml:space="preserve">Maintain containment</t>
  </si>
  <si>
    <t xml:space="preserve">External leakage</t>
  </si>
  <si>
    <t xml:space="preserve">Exposure and loss of containment</t>
  </si>
  <si>
    <t xml:space="preserve">Seal deterioration hypothesis</t>
  </si>
  <si>
    <t xml:space="preserve">Visual inspection</t>
  </si>
  <si>
    <t xml:space="preserve">No leak event supplied; prospective scenario</t>
  </si>
  <si>
    <t xml:space="preserve">Review compatibility and inspection evidence</t>
  </si>
  <si>
    <t xml:space="preserve">Safety reviewer</t>
  </si>
  <si>
    <t xml:space="preserve">FM05</t>
  </si>
  <si>
    <t xml:space="preserve">Collect comparable tests</t>
  </si>
  <si>
    <t xml:space="preserve">Invalid test duration</t>
  </si>
  <si>
    <t xml:space="preserve">Biased apparent delivery</t>
  </si>
  <si>
    <t xml:space="preserve">Timing error</t>
  </si>
  <si>
    <t xml:space="preserve">Duration field and quality flag</t>
  </si>
  <si>
    <t xml:space="preserve">Review timing and data-validation controls</t>
  </si>
  <si>
    <t xml:space="preserve">Quality lead</t>
  </si>
  <si>
    <t xml:space="preserve">FM06</t>
  </si>
  <si>
    <t xml:space="preserve">Retain accurate records</t>
  </si>
  <si>
    <t xml:space="preserve">Duplicate event</t>
  </si>
  <si>
    <t xml:space="preserve">Biased counts and statistics</t>
  </si>
  <si>
    <t xml:space="preserve">Export duplication</t>
  </si>
  <si>
    <t xml:space="preserve">Event-key uniqueness check</t>
  </si>
  <si>
    <t xml:space="preserve">Duplicate TEST-088</t>
  </si>
  <si>
    <t xml:space="preserve">Validate ingestion deduplication ledger</t>
  </si>
  <si>
    <t xml:space="preserve">Data owner</t>
  </si>
  <si>
    <t xml:space="preserve">week</t>
  </si>
  <si>
    <t xml:space="preserve">test_opportunities</t>
  </si>
  <si>
    <t xml:space="preserve">deviations</t>
  </si>
  <si>
    <t xml:space="preserve">definition</t>
  </si>
  <si>
    <t xml:space="preserve">W01</t>
  </si>
  <si>
    <t xml:space="preserve">Logged collection-test acceptance deviations; no exposure-severity inference</t>
  </si>
  <si>
    <t xml:space="preserve">W02</t>
  </si>
  <si>
    <t xml:space="preserve">W03</t>
  </si>
  <si>
    <t xml:space="preserve">W04</t>
  </si>
  <si>
    <t xml:space="preserve">W05</t>
  </si>
  <si>
    <t xml:space="preserve">W06</t>
  </si>
  <si>
    <t xml:space="preserve">W07</t>
  </si>
  <si>
    <t xml:space="preserve">W08</t>
  </si>
  <si>
    <t xml:space="preserve">category</t>
  </si>
  <si>
    <t xml:space="preserve">baseline_count</t>
  </si>
  <si>
    <t xml:space="preserve">evidence_status</t>
  </si>
  <si>
    <t xml:space="preserve">Observed category; mechanism unconfirmed</t>
  </si>
  <si>
    <t xml:space="preserve">Test validity</t>
  </si>
  <si>
    <t xml:space="preserve">Administrative/test issue</t>
  </si>
  <si>
    <t xml:space="preserve">Missing evidence</t>
  </si>
  <si>
    <t xml:space="preserve">Incomplete record</t>
  </si>
  <si>
    <t xml:space="preserve">Other</t>
  </si>
  <si>
    <t xml:space="preserve">Needs classification review</t>
  </si>
  <si>
    <t xml:space="preserve">parameter</t>
  </si>
  <si>
    <t xml:space="preserve">value</t>
  </si>
  <si>
    <t xml:space="preserve">unit_or_note</t>
  </si>
  <si>
    <t xml:space="preserve">Standard collection duration; fictional</t>
  </si>
  <si>
    <t xml:space="preserve">target</t>
  </si>
  <si>
    <t xml:space="preserve">L/h</t>
  </si>
  <si>
    <t xml:space="preserve">LSL</t>
  </si>
  <si>
    <t xml:space="preserve">USL</t>
  </si>
  <si>
    <t xml:space="preserve">d2</t>
  </si>
  <si>
    <t xml:space="preserve">MR of two; NIST individuals-chart estimator</t>
  </si>
  <si>
    <t xml:space="preserve">baseline_n</t>
  </si>
  <si>
    <t xml:space="preserve">Baseline tests only</t>
  </si>
  <si>
    <t xml:space="preserve">Provisional rating definitions</t>
  </si>
  <si>
    <t xml:space="preserve"># Provisional workshop scoring
Original synthetic IES training case. Fictional assets, people, observations and engineering requirements. No real operating limits or work authorisation. Pending alignment to the user-supplied Excel prompts.
S/O/D are supplied workshop judgements, not values estimated from the small test dataset. S:1 negligible impact,4 local rework,6 degraded process decision,7 treatment-process impact requiring review,9 potential serious exposure. O:1 remote,2 low,3 occasional,4 recurring administrative/test issue,5 repeatedly observed condition. D:1 near-certain pre-effect detection through validated controls,2 high detectability,3 likely detection,4 periodic test may detect,5 incomplete assurance,6 weak detection assurance. Larger D means poorer detectability. Other values need a documented agreed definition before use. RPN is a teaching prioritisation aid, not a safety acceptance criterion. Severity9 receives review regardless of rank. Do not reduce residual scores for an action that is merely proposed.
</t>
  </si>
  <si>
    <t xml:space="preserve">Severity gate</t>
  </si>
  <si>
    <t xml:space="preserve">S&gt;=9 requires explicit review regardless of RPN.</t>
  </si>
  <si>
    <t xml:space="preserve">prompt_id</t>
  </si>
  <si>
    <t xml:space="preserve">purpose</t>
  </si>
  <si>
    <t xml:space="preserve">prompt</t>
  </si>
  <si>
    <t xml:space="preserve">SPC1</t>
  </si>
  <si>
    <t xml:space="preserve">Audit the source</t>
  </si>
  <si>
    <t xml:space="preserve">Using RawTests, audit test_id uniqueness, missing collected_L, duration_s and quality_flag. Do not modify RawTests. Create a QualityAudit table with record ID, issue, inclusion decision and reason. Use one unique record per test, require VALID and 120 seconds, and never discard an excursion solely because it is extreme. Report raw, unique and valid counts.</t>
  </si>
  <si>
    <t xml:space="preserve">SPC2</t>
  </si>
  <si>
    <t xml:space="preserve">Calculate the baseline</t>
  </si>
  <si>
    <t xml:space="preserve">Use ValidTests in time order. In Analysis create delivery_L_h = collected_L*3600/120. Use only the 60 baseline records to calculate mean and successive moving ranges; do not bridge across phases. Estimate sigma = MRbar/1.128 and individuals limits mean +/-3*sigma. Put constants and specifications in Parameters and show formulas, units and referenced rows.</t>
  </si>
  <si>
    <t xml:space="preserve">SPC3</t>
  </si>
  <si>
    <t xml:space="preserve">Plot and interpret</t>
  </si>
  <si>
    <t xml:space="preserve">Review the existing Analysis and SPC_Summary chart. Keep the prepared formulas and fixed baseline limits unchanged. Identify valid monitoring points outside the limits and check one example against the source row. Return only three sentences: observed signal, supporting evidence, and an unresolved limitation. Do not rebuild the chart or calculate capability.</t>
  </si>
  <si>
    <t xml:space="preserve">SPC4</t>
  </si>
  <si>
    <t xml:space="preserve">Check capability</t>
  </si>
  <si>
    <t xml:space="preserve">Using fictional test specifications 58.9–65.1 L/h, calculate baseline Cp and Cpk from the stated within-process estimator. State assumptions: stable baseline, adequate measurement, suitable distribution and independence. Do not use a good Cp to claim the later monitoring period is stable. Review potential shift/measurement effects and compare with Worked-Reference.xlsx.</t>
  </si>
  <si>
    <t xml:space="preserve">FMEA1</t>
  </si>
  <si>
    <t xml:space="preserve">Structure the review</t>
  </si>
  <si>
    <t xml:space="preserve">Use FMEA_Input and Evidence. Create FMEA_Review with function, mode, effect, potential cause, current control, evidence, supplied provisional S/O/D, RPN, action, owner and status. Keep the six mode IDs. Separate actual observations from prospective scenarios. Use ScoringNote for definitions and do not infer occurrence ratings from the short test series.</t>
  </si>
  <si>
    <t xml:space="preserve">FMEA2</t>
  </si>
  <si>
    <t xml:space="preserve">Calculate and prioritise</t>
  </si>
  <si>
    <t xml:space="preserve">Review the prepared FMEA_Review. Check the RPN formulas for FM01 and FM04, preserving mode IDs and provisional scores. Explain why the severity-9 row still needs review. Return one evidence gap and one proposed action for FM01; keep residual ratings unassessed. Do not rebuild the table or chart.</t>
  </si>
  <si>
    <t xml:space="preserve">FMEA3</t>
  </si>
  <si>
    <t xml:space="preserve">Challenge with personas</t>
  </si>
  <si>
    <t xml:space="preserve">Simulate reliability, operations and safety review lenses. First return one separate evidence-based concern per role. Run two concise challenge/response rounds, citing mode IDs and evidence records. A moderator returns agreed revisions, unresolved disagreement and missing evidence. Do not force consensus or invent approval. Keep residual ratings unassessed until action-effectiveness evidence exists.</t>
  </si>
  <si>
    <t xml:space="preserve">DMAIC1</t>
  </si>
  <si>
    <t xml:space="preserve">Define and measure</t>
  </si>
  <si>
    <t xml:space="preserve">Review the prepared Rate_Comparison, WeeklyEvents and DMAIC tables. Check baseline and pilot rates using summed deviations divided by summed opportunities. Return three cells: measured change, limitation and next evidence. Do not create a full report or a new chart, and do not claim a causal effect from the short pilot.</t>
  </si>
  <si>
    <t xml:space="preserve">DMAIC2</t>
  </si>
  <si>
    <t xml:space="preserve">Analyse</t>
  </si>
  <si>
    <t xml:space="preserve">Create a Pareto table and chart from baseline DefectCounts, including cumulative percentage. Reconcile the total with baseline WeeklyEvents. Compare the phase rates and express both percentage-point and relative change. Explain that fewer deviations after two concurrent changes do not isolate the cause or establish sustained improvement.</t>
  </si>
  <si>
    <t xml:space="preserve">DMAIC3</t>
  </si>
  <si>
    <t xml:space="preserve">Improve and control</t>
  </si>
  <si>
    <t xml:space="preserve">Draft a controlled follow-up trial and ControlPlan table: metric, source, frequency, owner, signal rule, review response and evidence. Link to SPC signals and FMEA actions. Preserve the open removed-strainer review. Do not claim causal proof, savings or operational approval not supported by the source. End with a six-cell management summary and unresolved questions.</t>
  </si>
  <si>
    <t xml:space="preserve">issue</t>
  </si>
  <si>
    <t xml:space="preserve">decision</t>
  </si>
  <si>
    <t xml:space="preserve">reason</t>
  </si>
  <si>
    <t xml:space="preserve">Missing volume</t>
  </si>
  <si>
    <t xml:space="preserve">Exclude</t>
  </si>
  <si>
    <t xml:space="preserve">Not zero; preserve raw record</t>
  </si>
  <si>
    <t xml:space="preserve">110s duration; invalid flag</t>
  </si>
  <si>
    <t xml:space="preserve">Standard120s comparability rule</t>
  </si>
  <si>
    <t xml:space="preserve">Duplicate export row</t>
  </si>
  <si>
    <t xml:space="preserve">Keep one</t>
  </si>
  <si>
    <t xml:space="preserve">Same event retained once; no process values changed</t>
  </si>
  <si>
    <t xml:space="preserve">timestamp</t>
  </si>
  <si>
    <t xml:space="preserve">pump</t>
  </si>
  <si>
    <t xml:space="preserve">MR_baseline</t>
  </si>
  <si>
    <t xml:space="preserve">centre</t>
  </si>
  <si>
    <t xml:space="preserve">UCL</t>
  </si>
  <si>
    <t xml:space="preserve">LCL</t>
  </si>
  <si>
    <t xml:space="preserve">signal</t>
  </si>
  <si>
    <t xml:space="preserve">metric</t>
  </si>
  <si>
    <t xml:space="preserve">result</t>
  </si>
  <si>
    <t xml:space="preserve">units_or_interpretation</t>
  </si>
  <si>
    <t xml:space="preserve">n</t>
  </si>
  <si>
    <t xml:space="preserve">baseline observations</t>
  </si>
  <si>
    <t xml:space="preserve">Mean</t>
  </si>
  <si>
    <t xml:space="preserve">MRbar</t>
  </si>
  <si>
    <t xml:space="preserve">Sigma</t>
  </si>
  <si>
    <t xml:space="preserve">Cp</t>
  </si>
  <si>
    <t xml:space="preserve">conditional</t>
  </si>
  <si>
    <t xml:space="preserve">Cpk</t>
  </si>
  <si>
    <t xml:space="preserve">S</t>
  </si>
  <si>
    <t xml:space="preserve">O</t>
  </si>
  <si>
    <t xml:space="preserve">D</t>
  </si>
  <si>
    <t xml:space="preserve">RPN</t>
  </si>
  <si>
    <t xml:space="preserve">severity_gate</t>
  </si>
  <si>
    <t xml:space="preserve">action</t>
  </si>
  <si>
    <t xml:space="preserve">owner</t>
  </si>
  <si>
    <t xml:space="preserve">residual_status</t>
  </si>
  <si>
    <t xml:space="preserve">Unassessed; action not verified</t>
  </si>
  <si>
    <t xml:space="preserve">claim</t>
  </si>
  <si>
    <t xml:space="preserve">source</t>
  </si>
  <si>
    <t xml:space="preserve">limitation</t>
  </si>
  <si>
    <t xml:space="preserve">next_action</t>
  </si>
  <si>
    <t xml:space="preserve">Define</t>
  </si>
  <si>
    <t xml:space="preserve">Delivery-test acceptance deviations</t>
  </si>
  <si>
    <t xml:space="preserve">WeeklyEvents</t>
  </si>
  <si>
    <t xml:space="preserve">Not chemical compliance</t>
  </si>
  <si>
    <t xml:space="preserve">Confirm comparable scope</t>
  </si>
  <si>
    <t xml:space="preserve">Measure</t>
  </si>
  <si>
    <t xml:space="preserve">Baseline 93/1008; pilot 11/336</t>
  </si>
  <si>
    <t xml:space="preserve">Rate_Comparison</t>
  </si>
  <si>
    <t xml:space="preserve">Eight-week log differs from 120-test sample</t>
  </si>
  <si>
    <t xml:space="preserve">Check denominators</t>
  </si>
  <si>
    <t xml:space="preserve">Low delivery 55 of 93 baseline deviations</t>
  </si>
  <si>
    <t xml:space="preserve">Pareto; SPC</t>
  </si>
  <si>
    <t xml:space="preserve">Association, not sole cause</t>
  </si>
  <si>
    <t xml:space="preserve">Review mechanism evidence</t>
  </si>
  <si>
    <t xml:space="preserve">Improve</t>
  </si>
  <si>
    <t xml:space="preserve">Follow-up trial proposed</t>
  </si>
  <si>
    <t xml:space="preserve">Two concurrent changes</t>
  </si>
  <si>
    <t xml:space="preserve">Separate intervention effects where feasible</t>
  </si>
  <si>
    <t xml:space="preserve">Control</t>
  </si>
  <si>
    <t xml:space="preserve">Continue evidence review and fixed baseline tracking</t>
  </si>
  <si>
    <t xml:space="preserve">ControlPlan</t>
  </si>
  <si>
    <t xml:space="preserve">Pilot only two weeks</t>
  </si>
  <si>
    <t xml:space="preserve">Review before re-baseline</t>
  </si>
  <si>
    <t xml:space="preserve">frequency</t>
  </si>
  <si>
    <t xml:space="preserve">signal_rule</t>
  </si>
  <si>
    <t xml:space="preserve">review_response</t>
  </si>
  <si>
    <t xml:space="preserve">Delivery L/h</t>
  </si>
  <si>
    <t xml:space="preserve">Standard120s collection</t>
  </si>
  <si>
    <t xml:space="preserve">At agreed test cadence</t>
  </si>
  <si>
    <t xml:space="preserve">Operations reviewer</t>
  </si>
  <si>
    <t xml:space="preserve">Outside fixed baseline limits</t>
  </si>
  <si>
    <t xml:space="preserve">Retain evidence; follow approved escalation</t>
  </si>
  <si>
    <t xml:space="preserve">Deviation rate</t>
  </si>
  <si>
    <t xml:space="preserve">Weekly opportunity log</t>
  </si>
  <si>
    <t xml:space="preserve">Weekly review</t>
  </si>
  <si>
    <t xml:space="preserve">Quality owner</t>
  </si>
  <si>
    <t xml:space="preserve">Compare to agreed follow-up criterion</t>
  </si>
  <si>
    <t xml:space="preserve">Investigate denominator and category changes</t>
  </si>
  <si>
    <t xml:space="preserve">Action effectiveness</t>
  </si>
  <si>
    <t xml:space="preserve">ACT-401-04 and FMEA actions</t>
  </si>
  <si>
    <t xml:space="preserve">At action review</t>
  </si>
  <si>
    <t xml:space="preserve">Evidence remains open</t>
  </si>
  <si>
    <t xml:space="preserve">No residual rescoring before verified evidence</t>
  </si>
  <si>
    <t xml:space="preserve">tool_action</t>
  </si>
  <si>
    <t xml:space="preserve">source_check</t>
  </si>
  <si>
    <t xml:space="preserve">formula_check</t>
  </si>
  <si>
    <t xml:space="preserve">correction</t>
  </si>
  <si>
    <t xml:space="preserve">review_minutes</t>
  </si>
  <si>
    <t xml:space="preserve">opportunities</t>
  </si>
  <si>
    <t xml:space="preserve">rate</t>
  </si>
  <si>
    <t xml:space="preserve">percentage-point reduction</t>
  </si>
  <si>
    <t xml:space="preserve">relative reduction</t>
  </si>
  <si>
    <t xml:space="preserve">count</t>
  </si>
  <si>
    <t xml:space="preserve">cumulative_share</t>
  </si>
</sst>
</file>

<file path=xl/styles.xml><?xml version="1.0" encoding="utf-8"?>
<styleSheet xmlns="http://schemas.openxmlformats.org/spreadsheetml/2006/main">
  <numFmts count="2">
    <numFmt numFmtId="164" formatCode="General"/>
    <numFmt numFmtId="165" formatCode="0.00000"/>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rgb="FF1D4F91"/>
      <name val="Arial"/>
      <family val="0"/>
      <charset val="1"/>
    </font>
    <font>
      <sz val="10"/>
      <color rgb="FF000000"/>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s>
  <fills count="3">
    <fill>
      <patternFill patternType="none"/>
    </fill>
    <fill>
      <patternFill patternType="gray125"/>
    </fill>
    <fill>
      <patternFill patternType="solid">
        <fgColor rgb="FF142C3E"/>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42C3E"/>
          <bgColor rgb="FF000000"/>
        </patternFill>
      </fill>
    </dxf>
    <dxf>
      <fill>
        <patternFill patternType="solid">
          <bgColor rgb="FF000000"/>
        </patternFill>
      </fill>
    </dxf>
    <dxf>
      <fill>
        <patternFill patternType="solid">
          <fgColor rgb="FF1D4F9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8B855"/>
      <rgbColor rgb="FFFFCC00"/>
      <rgbColor rgb="FFFF9900"/>
      <rgbColor rgb="FFFF6600"/>
      <rgbColor rgb="FF7D5FA0"/>
      <rgbColor rgb="FF969696"/>
      <rgbColor rgb="FF142C3E"/>
      <rgbColor rgb="FF4F81BD"/>
      <rgbColor rgb="FF003300"/>
      <rgbColor rgb="FF333300"/>
      <rgbColor rgb="FF993300"/>
      <rgbColor rgb="FF993366"/>
      <rgbColor rgb="FF1D4F91"/>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CW-401 delivery with fixed baseline limits</a:t>
            </a:r>
          </a:p>
        </c:rich>
      </c:tx>
      <c:overlay val="0"/>
      <c:spPr>
        <a:noFill/>
        <a:ln w="0">
          <a:noFill/>
        </a:ln>
      </c:spPr>
    </c:title>
    <c:autoTitleDeleted val="0"/>
    <c:plotArea>
      <c:lineChart>
        <c:grouping val="standard"/>
        <c:varyColors val="0"/>
        <c:ser>
          <c:idx val="0"/>
          <c:order val="0"/>
          <c:tx>
            <c:strRef>
              <c:f>Analysis!G1</c:f>
              <c:strCache>
                <c:ptCount val="1"/>
                <c:pt idx="0">
                  <c:v>delivery_L_h</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Analysis!$G$2:$G$119</c:f>
              <c:numCache>
                <c:formatCode>0.00000</c:formatCode>
                <c:ptCount val="118"/>
                <c:pt idx="0">
                  <c:v>61.56</c:v>
                </c:pt>
                <c:pt idx="1">
                  <c:v>61.53</c:v>
                </c:pt>
                <c:pt idx="2">
                  <c:v>61.98</c:v>
                </c:pt>
                <c:pt idx="3">
                  <c:v>63.12</c:v>
                </c:pt>
                <c:pt idx="4">
                  <c:v>61.77</c:v>
                </c:pt>
                <c:pt idx="5">
                  <c:v>62.07</c:v>
                </c:pt>
                <c:pt idx="6">
                  <c:v>61.14</c:v>
                </c:pt>
                <c:pt idx="7">
                  <c:v>61.35</c:v>
                </c:pt>
                <c:pt idx="8">
                  <c:v>61.8</c:v>
                </c:pt>
                <c:pt idx="9">
                  <c:v>62.37</c:v>
                </c:pt>
                <c:pt idx="10">
                  <c:v>62.76</c:v>
                </c:pt>
                <c:pt idx="11">
                  <c:v>62.01</c:v>
                </c:pt>
                <c:pt idx="12">
                  <c:v>62.67</c:v>
                </c:pt>
                <c:pt idx="13">
                  <c:v>61.74</c:v>
                </c:pt>
                <c:pt idx="14">
                  <c:v>62.82</c:v>
                </c:pt>
                <c:pt idx="15">
                  <c:v>62.07</c:v>
                </c:pt>
                <c:pt idx="16">
                  <c:v>61.74</c:v>
                </c:pt>
                <c:pt idx="17">
                  <c:v>62.64</c:v>
                </c:pt>
                <c:pt idx="18">
                  <c:v>62.94</c:v>
                </c:pt>
                <c:pt idx="19">
                  <c:v>61.62</c:v>
                </c:pt>
                <c:pt idx="20">
                  <c:v>61.17</c:v>
                </c:pt>
                <c:pt idx="21">
                  <c:v>61.56</c:v>
                </c:pt>
                <c:pt idx="22">
                  <c:v>63.03</c:v>
                </c:pt>
                <c:pt idx="23">
                  <c:v>62.01</c:v>
                </c:pt>
                <c:pt idx="24">
                  <c:v>63.15</c:v>
                </c:pt>
                <c:pt idx="25">
                  <c:v>62.16</c:v>
                </c:pt>
                <c:pt idx="26">
                  <c:v>61.47</c:v>
                </c:pt>
                <c:pt idx="27">
                  <c:v>62.31</c:v>
                </c:pt>
                <c:pt idx="28">
                  <c:v>61.86</c:v>
                </c:pt>
                <c:pt idx="29">
                  <c:v>61.29</c:v>
                </c:pt>
                <c:pt idx="30">
                  <c:v>61.98</c:v>
                </c:pt>
                <c:pt idx="31">
                  <c:v>62.52</c:v>
                </c:pt>
                <c:pt idx="32">
                  <c:v>61.56</c:v>
                </c:pt>
                <c:pt idx="33">
                  <c:v>62.01</c:v>
                </c:pt>
                <c:pt idx="34">
                  <c:v>61.11</c:v>
                </c:pt>
                <c:pt idx="35">
                  <c:v>61.95</c:v>
                </c:pt>
                <c:pt idx="36">
                  <c:v>62.07</c:v>
                </c:pt>
                <c:pt idx="37">
                  <c:v>62.22</c:v>
                </c:pt>
                <c:pt idx="38">
                  <c:v>61.68</c:v>
                </c:pt>
                <c:pt idx="39">
                  <c:v>62.28</c:v>
                </c:pt>
                <c:pt idx="40">
                  <c:v>61.11</c:v>
                </c:pt>
                <c:pt idx="41">
                  <c:v>61.56</c:v>
                </c:pt>
                <c:pt idx="42">
                  <c:v>61.95</c:v>
                </c:pt>
                <c:pt idx="43">
                  <c:v>61.14</c:v>
                </c:pt>
                <c:pt idx="44">
                  <c:v>62.31</c:v>
                </c:pt>
                <c:pt idx="45">
                  <c:v>63.03</c:v>
                </c:pt>
                <c:pt idx="46">
                  <c:v>61.29</c:v>
                </c:pt>
                <c:pt idx="47">
                  <c:v>62.46</c:v>
                </c:pt>
                <c:pt idx="48">
                  <c:v>62.49</c:v>
                </c:pt>
                <c:pt idx="49">
                  <c:v>61.74</c:v>
                </c:pt>
                <c:pt idx="50">
                  <c:v>63.06</c:v>
                </c:pt>
                <c:pt idx="51">
                  <c:v>62.31</c:v>
                </c:pt>
                <c:pt idx="52">
                  <c:v>61.53</c:v>
                </c:pt>
                <c:pt idx="53">
                  <c:v>60.9</c:v>
                </c:pt>
                <c:pt idx="54">
                  <c:v>61.68</c:v>
                </c:pt>
                <c:pt idx="55">
                  <c:v>61.89</c:v>
                </c:pt>
                <c:pt idx="56">
                  <c:v>60.57</c:v>
                </c:pt>
                <c:pt idx="57">
                  <c:v>62.91</c:v>
                </c:pt>
                <c:pt idx="58">
                  <c:v>62.64</c:v>
                </c:pt>
                <c:pt idx="59">
                  <c:v>62.49</c:v>
                </c:pt>
                <c:pt idx="60">
                  <c:v>62.52</c:v>
                </c:pt>
                <c:pt idx="61">
                  <c:v>61.53</c:v>
                </c:pt>
                <c:pt idx="62">
                  <c:v>60.96</c:v>
                </c:pt>
                <c:pt idx="63">
                  <c:v>61.17</c:v>
                </c:pt>
                <c:pt idx="64">
                  <c:v>61.98</c:v>
                </c:pt>
                <c:pt idx="65">
                  <c:v>61.74</c:v>
                </c:pt>
                <c:pt idx="66">
                  <c:v>62.31</c:v>
                </c:pt>
                <c:pt idx="67">
                  <c:v>61.5</c:v>
                </c:pt>
                <c:pt idx="68">
                  <c:v>60.96</c:v>
                </c:pt>
                <c:pt idx="69">
                  <c:v>63.12</c:v>
                </c:pt>
                <c:pt idx="70">
                  <c:v>62.1</c:v>
                </c:pt>
                <c:pt idx="71">
                  <c:v>57.87</c:v>
                </c:pt>
                <c:pt idx="72">
                  <c:v>59.1</c:v>
                </c:pt>
                <c:pt idx="73">
                  <c:v>57.45</c:v>
                </c:pt>
                <c:pt idx="74">
                  <c:v>57.81</c:v>
                </c:pt>
                <c:pt idx="75">
                  <c:v>57.21</c:v>
                </c:pt>
                <c:pt idx="76">
                  <c:v>59.31</c:v>
                </c:pt>
                <c:pt idx="77">
                  <c:v>58.08</c:v>
                </c:pt>
                <c:pt idx="78">
                  <c:v>57.12</c:v>
                </c:pt>
                <c:pt idx="79">
                  <c:v>58.26</c:v>
                </c:pt>
                <c:pt idx="80">
                  <c:v>58.11</c:v>
                </c:pt>
                <c:pt idx="81">
                  <c:v>57.87</c:v>
                </c:pt>
                <c:pt idx="82">
                  <c:v>58.29</c:v>
                </c:pt>
                <c:pt idx="83">
                  <c:v>56.19</c:v>
                </c:pt>
                <c:pt idx="84">
                  <c:v>57.63</c:v>
                </c:pt>
                <c:pt idx="85">
                  <c:v>58.11</c:v>
                </c:pt>
                <c:pt idx="86">
                  <c:v>57.9</c:v>
                </c:pt>
                <c:pt idx="87">
                  <c:v>58.08</c:v>
                </c:pt>
                <c:pt idx="88">
                  <c:v>62.37</c:v>
                </c:pt>
                <c:pt idx="89">
                  <c:v>61.47</c:v>
                </c:pt>
                <c:pt idx="90">
                  <c:v>62.25</c:v>
                </c:pt>
                <c:pt idx="91">
                  <c:v>61.86</c:v>
                </c:pt>
                <c:pt idx="92">
                  <c:v>61.44</c:v>
                </c:pt>
                <c:pt idx="93">
                  <c:v>61.38</c:v>
                </c:pt>
                <c:pt idx="94">
                  <c:v>62.01</c:v>
                </c:pt>
                <c:pt idx="95">
                  <c:v>61.05</c:v>
                </c:pt>
                <c:pt idx="96">
                  <c:v>62.13</c:v>
                </c:pt>
                <c:pt idx="97">
                  <c:v>62.04</c:v>
                </c:pt>
                <c:pt idx="98">
                  <c:v>61.68</c:v>
                </c:pt>
                <c:pt idx="99">
                  <c:v>62.04</c:v>
                </c:pt>
                <c:pt idx="100">
                  <c:v>62.19</c:v>
                </c:pt>
                <c:pt idx="101">
                  <c:v>63.03</c:v>
                </c:pt>
                <c:pt idx="102">
                  <c:v>60.96</c:v>
                </c:pt>
                <c:pt idx="103">
                  <c:v>61.77</c:v>
                </c:pt>
                <c:pt idx="104">
                  <c:v>61.2</c:v>
                </c:pt>
                <c:pt idx="105">
                  <c:v>61.53</c:v>
                </c:pt>
                <c:pt idx="106">
                  <c:v>62.43</c:v>
                </c:pt>
                <c:pt idx="107">
                  <c:v>62.52</c:v>
                </c:pt>
                <c:pt idx="108">
                  <c:v>61.11</c:v>
                </c:pt>
                <c:pt idx="109">
                  <c:v>61.5</c:v>
                </c:pt>
                <c:pt idx="110">
                  <c:v>62.73</c:v>
                </c:pt>
                <c:pt idx="111">
                  <c:v>61.23</c:v>
                </c:pt>
                <c:pt idx="112">
                  <c:v>63.12</c:v>
                </c:pt>
                <c:pt idx="113">
                  <c:v>62.88</c:v>
                </c:pt>
                <c:pt idx="114">
                  <c:v>62.52</c:v>
                </c:pt>
                <c:pt idx="115">
                  <c:v>62.01</c:v>
                </c:pt>
                <c:pt idx="116">
                  <c:v>62.25</c:v>
                </c:pt>
                <c:pt idx="117">
                  <c:v>60.87</c:v>
                </c:pt>
              </c:numCache>
            </c:numRef>
          </c:val>
          <c:smooth val="1"/>
        </c:ser>
        <c:ser>
          <c:idx val="1"/>
          <c:order val="1"/>
          <c:tx>
            <c:strRef>
              <c:f>Analysis!J1</c:f>
              <c:strCache>
                <c:ptCount val="1"/>
                <c:pt idx="0">
                  <c:v>centre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Analysis!$J$2:$J$119</c:f>
              <c:numCache>
                <c:formatCode>0.00000</c:formatCode>
                <c:ptCount val="118"/>
                <c:pt idx="0">
                  <c:v>62.0025</c:v>
                </c:pt>
                <c:pt idx="1">
                  <c:v>62.0025</c:v>
                </c:pt>
                <c:pt idx="2">
                  <c:v>62.0025</c:v>
                </c:pt>
                <c:pt idx="3">
                  <c:v>62.0025</c:v>
                </c:pt>
                <c:pt idx="4">
                  <c:v>62.0025</c:v>
                </c:pt>
                <c:pt idx="5">
                  <c:v>62.0025</c:v>
                </c:pt>
                <c:pt idx="6">
                  <c:v>62.0025</c:v>
                </c:pt>
                <c:pt idx="7">
                  <c:v>62.0025</c:v>
                </c:pt>
                <c:pt idx="8">
                  <c:v>62.0025</c:v>
                </c:pt>
                <c:pt idx="9">
                  <c:v>62.0025</c:v>
                </c:pt>
                <c:pt idx="10">
                  <c:v>62.0025</c:v>
                </c:pt>
                <c:pt idx="11">
                  <c:v>62.0025</c:v>
                </c:pt>
                <c:pt idx="12">
                  <c:v>62.0025</c:v>
                </c:pt>
                <c:pt idx="13">
                  <c:v>62.0025</c:v>
                </c:pt>
                <c:pt idx="14">
                  <c:v>62.0025</c:v>
                </c:pt>
                <c:pt idx="15">
                  <c:v>62.0025</c:v>
                </c:pt>
                <c:pt idx="16">
                  <c:v>62.0025</c:v>
                </c:pt>
                <c:pt idx="17">
                  <c:v>62.0025</c:v>
                </c:pt>
                <c:pt idx="18">
                  <c:v>62.0025</c:v>
                </c:pt>
                <c:pt idx="19">
                  <c:v>62.0025</c:v>
                </c:pt>
                <c:pt idx="20">
                  <c:v>62.0025</c:v>
                </c:pt>
                <c:pt idx="21">
                  <c:v>62.0025</c:v>
                </c:pt>
                <c:pt idx="22">
                  <c:v>62.0025</c:v>
                </c:pt>
                <c:pt idx="23">
                  <c:v>62.0025</c:v>
                </c:pt>
                <c:pt idx="24">
                  <c:v>62.0025</c:v>
                </c:pt>
                <c:pt idx="25">
                  <c:v>62.0025</c:v>
                </c:pt>
                <c:pt idx="26">
                  <c:v>62.0025</c:v>
                </c:pt>
                <c:pt idx="27">
                  <c:v>62.0025</c:v>
                </c:pt>
                <c:pt idx="28">
                  <c:v>62.0025</c:v>
                </c:pt>
                <c:pt idx="29">
                  <c:v>62.0025</c:v>
                </c:pt>
                <c:pt idx="30">
                  <c:v>62.0025</c:v>
                </c:pt>
                <c:pt idx="31">
                  <c:v>62.0025</c:v>
                </c:pt>
                <c:pt idx="32">
                  <c:v>62.0025</c:v>
                </c:pt>
                <c:pt idx="33">
                  <c:v>62.0025</c:v>
                </c:pt>
                <c:pt idx="34">
                  <c:v>62.0025</c:v>
                </c:pt>
                <c:pt idx="35">
                  <c:v>62.0025</c:v>
                </c:pt>
                <c:pt idx="36">
                  <c:v>62.0025</c:v>
                </c:pt>
                <c:pt idx="37">
                  <c:v>62.0025</c:v>
                </c:pt>
                <c:pt idx="38">
                  <c:v>62.0025</c:v>
                </c:pt>
                <c:pt idx="39">
                  <c:v>62.0025</c:v>
                </c:pt>
                <c:pt idx="40">
                  <c:v>62.0025</c:v>
                </c:pt>
                <c:pt idx="41">
                  <c:v>62.0025</c:v>
                </c:pt>
                <c:pt idx="42">
                  <c:v>62.0025</c:v>
                </c:pt>
                <c:pt idx="43">
                  <c:v>62.0025</c:v>
                </c:pt>
                <c:pt idx="44">
                  <c:v>62.0025</c:v>
                </c:pt>
                <c:pt idx="45">
                  <c:v>62.0025</c:v>
                </c:pt>
                <c:pt idx="46">
                  <c:v>62.0025</c:v>
                </c:pt>
                <c:pt idx="47">
                  <c:v>62.0025</c:v>
                </c:pt>
                <c:pt idx="48">
                  <c:v>62.0025</c:v>
                </c:pt>
                <c:pt idx="49">
                  <c:v>62.0025</c:v>
                </c:pt>
                <c:pt idx="50">
                  <c:v>62.0025</c:v>
                </c:pt>
                <c:pt idx="51">
                  <c:v>62.0025</c:v>
                </c:pt>
                <c:pt idx="52">
                  <c:v>62.0025</c:v>
                </c:pt>
                <c:pt idx="53">
                  <c:v>62.0025</c:v>
                </c:pt>
                <c:pt idx="54">
                  <c:v>62.0025</c:v>
                </c:pt>
                <c:pt idx="55">
                  <c:v>62.0025</c:v>
                </c:pt>
                <c:pt idx="56">
                  <c:v>62.0025</c:v>
                </c:pt>
                <c:pt idx="57">
                  <c:v>62.0025</c:v>
                </c:pt>
                <c:pt idx="58">
                  <c:v>62.0025</c:v>
                </c:pt>
                <c:pt idx="59">
                  <c:v>62.0025</c:v>
                </c:pt>
                <c:pt idx="60">
                  <c:v>62.0025</c:v>
                </c:pt>
                <c:pt idx="61">
                  <c:v>62.0025</c:v>
                </c:pt>
                <c:pt idx="62">
                  <c:v>62.0025</c:v>
                </c:pt>
                <c:pt idx="63">
                  <c:v>62.0025</c:v>
                </c:pt>
                <c:pt idx="64">
                  <c:v>62.0025</c:v>
                </c:pt>
                <c:pt idx="65">
                  <c:v>62.0025</c:v>
                </c:pt>
                <c:pt idx="66">
                  <c:v>62.0025</c:v>
                </c:pt>
                <c:pt idx="67">
                  <c:v>62.0025</c:v>
                </c:pt>
                <c:pt idx="68">
                  <c:v>62.0025</c:v>
                </c:pt>
                <c:pt idx="69">
                  <c:v>62.0025</c:v>
                </c:pt>
                <c:pt idx="70">
                  <c:v>62.0025</c:v>
                </c:pt>
                <c:pt idx="71">
                  <c:v>62.0025</c:v>
                </c:pt>
                <c:pt idx="72">
                  <c:v>62.0025</c:v>
                </c:pt>
                <c:pt idx="73">
                  <c:v>62.0025</c:v>
                </c:pt>
                <c:pt idx="74">
                  <c:v>62.0025</c:v>
                </c:pt>
                <c:pt idx="75">
                  <c:v>62.0025</c:v>
                </c:pt>
                <c:pt idx="76">
                  <c:v>62.0025</c:v>
                </c:pt>
                <c:pt idx="77">
                  <c:v>62.0025</c:v>
                </c:pt>
                <c:pt idx="78">
                  <c:v>62.0025</c:v>
                </c:pt>
                <c:pt idx="79">
                  <c:v>62.0025</c:v>
                </c:pt>
                <c:pt idx="80">
                  <c:v>62.0025</c:v>
                </c:pt>
                <c:pt idx="81">
                  <c:v>62.0025</c:v>
                </c:pt>
                <c:pt idx="82">
                  <c:v>62.0025</c:v>
                </c:pt>
                <c:pt idx="83">
                  <c:v>62.0025</c:v>
                </c:pt>
                <c:pt idx="84">
                  <c:v>62.0025</c:v>
                </c:pt>
                <c:pt idx="85">
                  <c:v>62.0025</c:v>
                </c:pt>
                <c:pt idx="86">
                  <c:v>62.0025</c:v>
                </c:pt>
                <c:pt idx="87">
                  <c:v>62.0025</c:v>
                </c:pt>
                <c:pt idx="88">
                  <c:v>62.0025</c:v>
                </c:pt>
                <c:pt idx="89">
                  <c:v>62.0025</c:v>
                </c:pt>
                <c:pt idx="90">
                  <c:v>62.0025</c:v>
                </c:pt>
                <c:pt idx="91">
                  <c:v>62.0025</c:v>
                </c:pt>
                <c:pt idx="92">
                  <c:v>62.0025</c:v>
                </c:pt>
                <c:pt idx="93">
                  <c:v>62.0025</c:v>
                </c:pt>
                <c:pt idx="94">
                  <c:v>62.0025</c:v>
                </c:pt>
                <c:pt idx="95">
                  <c:v>62.0025</c:v>
                </c:pt>
                <c:pt idx="96">
                  <c:v>62.0025</c:v>
                </c:pt>
                <c:pt idx="97">
                  <c:v>62.0025</c:v>
                </c:pt>
                <c:pt idx="98">
                  <c:v>62.0025</c:v>
                </c:pt>
                <c:pt idx="99">
                  <c:v>62.0025</c:v>
                </c:pt>
                <c:pt idx="100">
                  <c:v>62.0025</c:v>
                </c:pt>
                <c:pt idx="101">
                  <c:v>62.0025</c:v>
                </c:pt>
                <c:pt idx="102">
                  <c:v>62.0025</c:v>
                </c:pt>
                <c:pt idx="103">
                  <c:v>62.0025</c:v>
                </c:pt>
                <c:pt idx="104">
                  <c:v>62.0025</c:v>
                </c:pt>
                <c:pt idx="105">
                  <c:v>62.0025</c:v>
                </c:pt>
                <c:pt idx="106">
                  <c:v>62.0025</c:v>
                </c:pt>
                <c:pt idx="107">
                  <c:v>62.0025</c:v>
                </c:pt>
                <c:pt idx="108">
                  <c:v>62.0025</c:v>
                </c:pt>
                <c:pt idx="109">
                  <c:v>62.0025</c:v>
                </c:pt>
                <c:pt idx="110">
                  <c:v>62.0025</c:v>
                </c:pt>
                <c:pt idx="111">
                  <c:v>62.0025</c:v>
                </c:pt>
                <c:pt idx="112">
                  <c:v>62.0025</c:v>
                </c:pt>
                <c:pt idx="113">
                  <c:v>62.0025</c:v>
                </c:pt>
                <c:pt idx="114">
                  <c:v>62.0025</c:v>
                </c:pt>
                <c:pt idx="115">
                  <c:v>62.0025</c:v>
                </c:pt>
                <c:pt idx="116">
                  <c:v>62.0025</c:v>
                </c:pt>
                <c:pt idx="117">
                  <c:v>62.0025</c:v>
                </c:pt>
              </c:numCache>
            </c:numRef>
          </c:val>
          <c:smooth val="1"/>
        </c:ser>
        <c:ser>
          <c:idx val="2"/>
          <c:order val="2"/>
          <c:tx>
            <c:strRef>
              <c:f>Analysis!K1</c:f>
              <c:strCache>
                <c:ptCount val="1"/>
                <c:pt idx="0">
                  <c:v>UCL</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Analysis!$K$2:$K$119</c:f>
              <c:numCache>
                <c:formatCode>0.00000</c:formatCode>
                <c:ptCount val="118"/>
                <c:pt idx="0">
                  <c:v>63.967429679048</c:v>
                </c:pt>
                <c:pt idx="1">
                  <c:v>63.967429679048</c:v>
                </c:pt>
                <c:pt idx="2">
                  <c:v>63.967429679048</c:v>
                </c:pt>
                <c:pt idx="3">
                  <c:v>63.967429679048</c:v>
                </c:pt>
                <c:pt idx="4">
                  <c:v>63.967429679048</c:v>
                </c:pt>
                <c:pt idx="5">
                  <c:v>63.967429679048</c:v>
                </c:pt>
                <c:pt idx="6">
                  <c:v>63.967429679048</c:v>
                </c:pt>
                <c:pt idx="7">
                  <c:v>63.967429679048</c:v>
                </c:pt>
                <c:pt idx="8">
                  <c:v>63.967429679048</c:v>
                </c:pt>
                <c:pt idx="9">
                  <c:v>63.967429679048</c:v>
                </c:pt>
                <c:pt idx="10">
                  <c:v>63.967429679048</c:v>
                </c:pt>
                <c:pt idx="11">
                  <c:v>63.967429679048</c:v>
                </c:pt>
                <c:pt idx="12">
                  <c:v>63.967429679048</c:v>
                </c:pt>
                <c:pt idx="13">
                  <c:v>63.967429679048</c:v>
                </c:pt>
                <c:pt idx="14">
                  <c:v>63.967429679048</c:v>
                </c:pt>
                <c:pt idx="15">
                  <c:v>63.967429679048</c:v>
                </c:pt>
                <c:pt idx="16">
                  <c:v>63.967429679048</c:v>
                </c:pt>
                <c:pt idx="17">
                  <c:v>63.967429679048</c:v>
                </c:pt>
                <c:pt idx="18">
                  <c:v>63.967429679048</c:v>
                </c:pt>
                <c:pt idx="19">
                  <c:v>63.967429679048</c:v>
                </c:pt>
                <c:pt idx="20">
                  <c:v>63.967429679048</c:v>
                </c:pt>
                <c:pt idx="21">
                  <c:v>63.967429679048</c:v>
                </c:pt>
                <c:pt idx="22">
                  <c:v>63.967429679048</c:v>
                </c:pt>
                <c:pt idx="23">
                  <c:v>63.967429679048</c:v>
                </c:pt>
                <c:pt idx="24">
                  <c:v>63.967429679048</c:v>
                </c:pt>
                <c:pt idx="25">
                  <c:v>63.967429679048</c:v>
                </c:pt>
                <c:pt idx="26">
                  <c:v>63.967429679048</c:v>
                </c:pt>
                <c:pt idx="27">
                  <c:v>63.967429679048</c:v>
                </c:pt>
                <c:pt idx="28">
                  <c:v>63.967429679048</c:v>
                </c:pt>
                <c:pt idx="29">
                  <c:v>63.967429679048</c:v>
                </c:pt>
                <c:pt idx="30">
                  <c:v>63.967429679048</c:v>
                </c:pt>
                <c:pt idx="31">
                  <c:v>63.967429679048</c:v>
                </c:pt>
                <c:pt idx="32">
                  <c:v>63.967429679048</c:v>
                </c:pt>
                <c:pt idx="33">
                  <c:v>63.967429679048</c:v>
                </c:pt>
                <c:pt idx="34">
                  <c:v>63.967429679048</c:v>
                </c:pt>
                <c:pt idx="35">
                  <c:v>63.967429679048</c:v>
                </c:pt>
                <c:pt idx="36">
                  <c:v>63.967429679048</c:v>
                </c:pt>
                <c:pt idx="37">
                  <c:v>63.967429679048</c:v>
                </c:pt>
                <c:pt idx="38">
                  <c:v>63.967429679048</c:v>
                </c:pt>
                <c:pt idx="39">
                  <c:v>63.967429679048</c:v>
                </c:pt>
                <c:pt idx="40">
                  <c:v>63.967429679048</c:v>
                </c:pt>
                <c:pt idx="41">
                  <c:v>63.967429679048</c:v>
                </c:pt>
                <c:pt idx="42">
                  <c:v>63.967429679048</c:v>
                </c:pt>
                <c:pt idx="43">
                  <c:v>63.967429679048</c:v>
                </c:pt>
                <c:pt idx="44">
                  <c:v>63.967429679048</c:v>
                </c:pt>
                <c:pt idx="45">
                  <c:v>63.967429679048</c:v>
                </c:pt>
                <c:pt idx="46">
                  <c:v>63.967429679048</c:v>
                </c:pt>
                <c:pt idx="47">
                  <c:v>63.967429679048</c:v>
                </c:pt>
                <c:pt idx="48">
                  <c:v>63.967429679048</c:v>
                </c:pt>
                <c:pt idx="49">
                  <c:v>63.967429679048</c:v>
                </c:pt>
                <c:pt idx="50">
                  <c:v>63.967429679048</c:v>
                </c:pt>
                <c:pt idx="51">
                  <c:v>63.967429679048</c:v>
                </c:pt>
                <c:pt idx="52">
                  <c:v>63.967429679048</c:v>
                </c:pt>
                <c:pt idx="53">
                  <c:v>63.967429679048</c:v>
                </c:pt>
                <c:pt idx="54">
                  <c:v>63.967429679048</c:v>
                </c:pt>
                <c:pt idx="55">
                  <c:v>63.967429679048</c:v>
                </c:pt>
                <c:pt idx="56">
                  <c:v>63.967429679048</c:v>
                </c:pt>
                <c:pt idx="57">
                  <c:v>63.967429679048</c:v>
                </c:pt>
                <c:pt idx="58">
                  <c:v>63.967429679048</c:v>
                </c:pt>
                <c:pt idx="59">
                  <c:v>63.967429679048</c:v>
                </c:pt>
                <c:pt idx="60">
                  <c:v>63.967429679048</c:v>
                </c:pt>
                <c:pt idx="61">
                  <c:v>63.967429679048</c:v>
                </c:pt>
                <c:pt idx="62">
                  <c:v>63.967429679048</c:v>
                </c:pt>
                <c:pt idx="63">
                  <c:v>63.967429679048</c:v>
                </c:pt>
                <c:pt idx="64">
                  <c:v>63.967429679048</c:v>
                </c:pt>
                <c:pt idx="65">
                  <c:v>63.967429679048</c:v>
                </c:pt>
                <c:pt idx="66">
                  <c:v>63.967429679048</c:v>
                </c:pt>
                <c:pt idx="67">
                  <c:v>63.967429679048</c:v>
                </c:pt>
                <c:pt idx="68">
                  <c:v>63.967429679048</c:v>
                </c:pt>
                <c:pt idx="69">
                  <c:v>63.967429679048</c:v>
                </c:pt>
                <c:pt idx="70">
                  <c:v>63.967429679048</c:v>
                </c:pt>
                <c:pt idx="71">
                  <c:v>63.967429679048</c:v>
                </c:pt>
                <c:pt idx="72">
                  <c:v>63.967429679048</c:v>
                </c:pt>
                <c:pt idx="73">
                  <c:v>63.967429679048</c:v>
                </c:pt>
                <c:pt idx="74">
                  <c:v>63.967429679048</c:v>
                </c:pt>
                <c:pt idx="75">
                  <c:v>63.967429679048</c:v>
                </c:pt>
                <c:pt idx="76">
                  <c:v>63.967429679048</c:v>
                </c:pt>
                <c:pt idx="77">
                  <c:v>63.967429679048</c:v>
                </c:pt>
                <c:pt idx="78">
                  <c:v>63.967429679048</c:v>
                </c:pt>
                <c:pt idx="79">
                  <c:v>63.967429679048</c:v>
                </c:pt>
                <c:pt idx="80">
                  <c:v>63.967429679048</c:v>
                </c:pt>
                <c:pt idx="81">
                  <c:v>63.967429679048</c:v>
                </c:pt>
                <c:pt idx="82">
                  <c:v>63.967429679048</c:v>
                </c:pt>
                <c:pt idx="83">
                  <c:v>63.967429679048</c:v>
                </c:pt>
                <c:pt idx="84">
                  <c:v>63.967429679048</c:v>
                </c:pt>
                <c:pt idx="85">
                  <c:v>63.967429679048</c:v>
                </c:pt>
                <c:pt idx="86">
                  <c:v>63.967429679048</c:v>
                </c:pt>
                <c:pt idx="87">
                  <c:v>63.967429679048</c:v>
                </c:pt>
                <c:pt idx="88">
                  <c:v>63.967429679048</c:v>
                </c:pt>
                <c:pt idx="89">
                  <c:v>63.967429679048</c:v>
                </c:pt>
                <c:pt idx="90">
                  <c:v>63.967429679048</c:v>
                </c:pt>
                <c:pt idx="91">
                  <c:v>63.967429679048</c:v>
                </c:pt>
                <c:pt idx="92">
                  <c:v>63.967429679048</c:v>
                </c:pt>
                <c:pt idx="93">
                  <c:v>63.967429679048</c:v>
                </c:pt>
                <c:pt idx="94">
                  <c:v>63.967429679048</c:v>
                </c:pt>
                <c:pt idx="95">
                  <c:v>63.967429679048</c:v>
                </c:pt>
                <c:pt idx="96">
                  <c:v>63.967429679048</c:v>
                </c:pt>
                <c:pt idx="97">
                  <c:v>63.967429679048</c:v>
                </c:pt>
                <c:pt idx="98">
                  <c:v>63.967429679048</c:v>
                </c:pt>
                <c:pt idx="99">
                  <c:v>63.967429679048</c:v>
                </c:pt>
                <c:pt idx="100">
                  <c:v>63.967429679048</c:v>
                </c:pt>
                <c:pt idx="101">
                  <c:v>63.967429679048</c:v>
                </c:pt>
                <c:pt idx="102">
                  <c:v>63.967429679048</c:v>
                </c:pt>
                <c:pt idx="103">
                  <c:v>63.967429679048</c:v>
                </c:pt>
                <c:pt idx="104">
                  <c:v>63.967429679048</c:v>
                </c:pt>
                <c:pt idx="105">
                  <c:v>63.967429679048</c:v>
                </c:pt>
                <c:pt idx="106">
                  <c:v>63.967429679048</c:v>
                </c:pt>
                <c:pt idx="107">
                  <c:v>63.967429679048</c:v>
                </c:pt>
                <c:pt idx="108">
                  <c:v>63.967429679048</c:v>
                </c:pt>
                <c:pt idx="109">
                  <c:v>63.967429679048</c:v>
                </c:pt>
                <c:pt idx="110">
                  <c:v>63.967429679048</c:v>
                </c:pt>
                <c:pt idx="111">
                  <c:v>63.967429679048</c:v>
                </c:pt>
                <c:pt idx="112">
                  <c:v>63.967429679048</c:v>
                </c:pt>
                <c:pt idx="113">
                  <c:v>63.967429679048</c:v>
                </c:pt>
                <c:pt idx="114">
                  <c:v>63.967429679048</c:v>
                </c:pt>
                <c:pt idx="115">
                  <c:v>63.967429679048</c:v>
                </c:pt>
                <c:pt idx="116">
                  <c:v>63.967429679048</c:v>
                </c:pt>
                <c:pt idx="117">
                  <c:v>63.967429679048</c:v>
                </c:pt>
              </c:numCache>
            </c:numRef>
          </c:val>
          <c:smooth val="1"/>
        </c:ser>
        <c:ser>
          <c:idx val="3"/>
          <c:order val="3"/>
          <c:tx>
            <c:strRef>
              <c:f>Analysis!L1</c:f>
              <c:strCache>
                <c:ptCount val="1"/>
                <c:pt idx="0">
                  <c:v>LCL</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Analysis!$L$2:$L$119</c:f>
              <c:numCache>
                <c:formatCode>0.00000</c:formatCode>
                <c:ptCount val="118"/>
                <c:pt idx="0">
                  <c:v>60.037570320952</c:v>
                </c:pt>
                <c:pt idx="1">
                  <c:v>60.037570320952</c:v>
                </c:pt>
                <c:pt idx="2">
                  <c:v>60.037570320952</c:v>
                </c:pt>
                <c:pt idx="3">
                  <c:v>60.037570320952</c:v>
                </c:pt>
                <c:pt idx="4">
                  <c:v>60.037570320952</c:v>
                </c:pt>
                <c:pt idx="5">
                  <c:v>60.037570320952</c:v>
                </c:pt>
                <c:pt idx="6">
                  <c:v>60.037570320952</c:v>
                </c:pt>
                <c:pt idx="7">
                  <c:v>60.037570320952</c:v>
                </c:pt>
                <c:pt idx="8">
                  <c:v>60.037570320952</c:v>
                </c:pt>
                <c:pt idx="9">
                  <c:v>60.037570320952</c:v>
                </c:pt>
                <c:pt idx="10">
                  <c:v>60.037570320952</c:v>
                </c:pt>
                <c:pt idx="11">
                  <c:v>60.037570320952</c:v>
                </c:pt>
                <c:pt idx="12">
                  <c:v>60.037570320952</c:v>
                </c:pt>
                <c:pt idx="13">
                  <c:v>60.037570320952</c:v>
                </c:pt>
                <c:pt idx="14">
                  <c:v>60.037570320952</c:v>
                </c:pt>
                <c:pt idx="15">
                  <c:v>60.037570320952</c:v>
                </c:pt>
                <c:pt idx="16">
                  <c:v>60.037570320952</c:v>
                </c:pt>
                <c:pt idx="17">
                  <c:v>60.037570320952</c:v>
                </c:pt>
                <c:pt idx="18">
                  <c:v>60.037570320952</c:v>
                </c:pt>
                <c:pt idx="19">
                  <c:v>60.037570320952</c:v>
                </c:pt>
                <c:pt idx="20">
                  <c:v>60.037570320952</c:v>
                </c:pt>
                <c:pt idx="21">
                  <c:v>60.037570320952</c:v>
                </c:pt>
                <c:pt idx="22">
                  <c:v>60.037570320952</c:v>
                </c:pt>
                <c:pt idx="23">
                  <c:v>60.037570320952</c:v>
                </c:pt>
                <c:pt idx="24">
                  <c:v>60.037570320952</c:v>
                </c:pt>
                <c:pt idx="25">
                  <c:v>60.037570320952</c:v>
                </c:pt>
                <c:pt idx="26">
                  <c:v>60.037570320952</c:v>
                </c:pt>
                <c:pt idx="27">
                  <c:v>60.037570320952</c:v>
                </c:pt>
                <c:pt idx="28">
                  <c:v>60.037570320952</c:v>
                </c:pt>
                <c:pt idx="29">
                  <c:v>60.037570320952</c:v>
                </c:pt>
                <c:pt idx="30">
                  <c:v>60.037570320952</c:v>
                </c:pt>
                <c:pt idx="31">
                  <c:v>60.037570320952</c:v>
                </c:pt>
                <c:pt idx="32">
                  <c:v>60.037570320952</c:v>
                </c:pt>
                <c:pt idx="33">
                  <c:v>60.037570320952</c:v>
                </c:pt>
                <c:pt idx="34">
                  <c:v>60.037570320952</c:v>
                </c:pt>
                <c:pt idx="35">
                  <c:v>60.037570320952</c:v>
                </c:pt>
                <c:pt idx="36">
                  <c:v>60.037570320952</c:v>
                </c:pt>
                <c:pt idx="37">
                  <c:v>60.037570320952</c:v>
                </c:pt>
                <c:pt idx="38">
                  <c:v>60.037570320952</c:v>
                </c:pt>
                <c:pt idx="39">
                  <c:v>60.037570320952</c:v>
                </c:pt>
                <c:pt idx="40">
                  <c:v>60.037570320952</c:v>
                </c:pt>
                <c:pt idx="41">
                  <c:v>60.037570320952</c:v>
                </c:pt>
                <c:pt idx="42">
                  <c:v>60.037570320952</c:v>
                </c:pt>
                <c:pt idx="43">
                  <c:v>60.037570320952</c:v>
                </c:pt>
                <c:pt idx="44">
                  <c:v>60.037570320952</c:v>
                </c:pt>
                <c:pt idx="45">
                  <c:v>60.037570320952</c:v>
                </c:pt>
                <c:pt idx="46">
                  <c:v>60.037570320952</c:v>
                </c:pt>
                <c:pt idx="47">
                  <c:v>60.037570320952</c:v>
                </c:pt>
                <c:pt idx="48">
                  <c:v>60.037570320952</c:v>
                </c:pt>
                <c:pt idx="49">
                  <c:v>60.037570320952</c:v>
                </c:pt>
                <c:pt idx="50">
                  <c:v>60.037570320952</c:v>
                </c:pt>
                <c:pt idx="51">
                  <c:v>60.037570320952</c:v>
                </c:pt>
                <c:pt idx="52">
                  <c:v>60.037570320952</c:v>
                </c:pt>
                <c:pt idx="53">
                  <c:v>60.037570320952</c:v>
                </c:pt>
                <c:pt idx="54">
                  <c:v>60.037570320952</c:v>
                </c:pt>
                <c:pt idx="55">
                  <c:v>60.037570320952</c:v>
                </c:pt>
                <c:pt idx="56">
                  <c:v>60.037570320952</c:v>
                </c:pt>
                <c:pt idx="57">
                  <c:v>60.037570320952</c:v>
                </c:pt>
                <c:pt idx="58">
                  <c:v>60.037570320952</c:v>
                </c:pt>
                <c:pt idx="59">
                  <c:v>60.037570320952</c:v>
                </c:pt>
                <c:pt idx="60">
                  <c:v>60.037570320952</c:v>
                </c:pt>
                <c:pt idx="61">
                  <c:v>60.037570320952</c:v>
                </c:pt>
                <c:pt idx="62">
                  <c:v>60.037570320952</c:v>
                </c:pt>
                <c:pt idx="63">
                  <c:v>60.037570320952</c:v>
                </c:pt>
                <c:pt idx="64">
                  <c:v>60.037570320952</c:v>
                </c:pt>
                <c:pt idx="65">
                  <c:v>60.037570320952</c:v>
                </c:pt>
                <c:pt idx="66">
                  <c:v>60.037570320952</c:v>
                </c:pt>
                <c:pt idx="67">
                  <c:v>60.037570320952</c:v>
                </c:pt>
                <c:pt idx="68">
                  <c:v>60.037570320952</c:v>
                </c:pt>
                <c:pt idx="69">
                  <c:v>60.037570320952</c:v>
                </c:pt>
                <c:pt idx="70">
                  <c:v>60.037570320952</c:v>
                </c:pt>
                <c:pt idx="71">
                  <c:v>60.037570320952</c:v>
                </c:pt>
                <c:pt idx="72">
                  <c:v>60.037570320952</c:v>
                </c:pt>
                <c:pt idx="73">
                  <c:v>60.037570320952</c:v>
                </c:pt>
                <c:pt idx="74">
                  <c:v>60.037570320952</c:v>
                </c:pt>
                <c:pt idx="75">
                  <c:v>60.037570320952</c:v>
                </c:pt>
                <c:pt idx="76">
                  <c:v>60.037570320952</c:v>
                </c:pt>
                <c:pt idx="77">
                  <c:v>60.037570320952</c:v>
                </c:pt>
                <c:pt idx="78">
                  <c:v>60.037570320952</c:v>
                </c:pt>
                <c:pt idx="79">
                  <c:v>60.037570320952</c:v>
                </c:pt>
                <c:pt idx="80">
                  <c:v>60.037570320952</c:v>
                </c:pt>
                <c:pt idx="81">
                  <c:v>60.037570320952</c:v>
                </c:pt>
                <c:pt idx="82">
                  <c:v>60.037570320952</c:v>
                </c:pt>
                <c:pt idx="83">
                  <c:v>60.037570320952</c:v>
                </c:pt>
                <c:pt idx="84">
                  <c:v>60.037570320952</c:v>
                </c:pt>
                <c:pt idx="85">
                  <c:v>60.037570320952</c:v>
                </c:pt>
                <c:pt idx="86">
                  <c:v>60.037570320952</c:v>
                </c:pt>
                <c:pt idx="87">
                  <c:v>60.037570320952</c:v>
                </c:pt>
                <c:pt idx="88">
                  <c:v>60.037570320952</c:v>
                </c:pt>
                <c:pt idx="89">
                  <c:v>60.037570320952</c:v>
                </c:pt>
                <c:pt idx="90">
                  <c:v>60.037570320952</c:v>
                </c:pt>
                <c:pt idx="91">
                  <c:v>60.037570320952</c:v>
                </c:pt>
                <c:pt idx="92">
                  <c:v>60.037570320952</c:v>
                </c:pt>
                <c:pt idx="93">
                  <c:v>60.037570320952</c:v>
                </c:pt>
                <c:pt idx="94">
                  <c:v>60.037570320952</c:v>
                </c:pt>
                <c:pt idx="95">
                  <c:v>60.037570320952</c:v>
                </c:pt>
                <c:pt idx="96">
                  <c:v>60.037570320952</c:v>
                </c:pt>
                <c:pt idx="97">
                  <c:v>60.037570320952</c:v>
                </c:pt>
                <c:pt idx="98">
                  <c:v>60.037570320952</c:v>
                </c:pt>
                <c:pt idx="99">
                  <c:v>60.037570320952</c:v>
                </c:pt>
                <c:pt idx="100">
                  <c:v>60.037570320952</c:v>
                </c:pt>
                <c:pt idx="101">
                  <c:v>60.037570320952</c:v>
                </c:pt>
                <c:pt idx="102">
                  <c:v>60.037570320952</c:v>
                </c:pt>
                <c:pt idx="103">
                  <c:v>60.037570320952</c:v>
                </c:pt>
                <c:pt idx="104">
                  <c:v>60.037570320952</c:v>
                </c:pt>
                <c:pt idx="105">
                  <c:v>60.037570320952</c:v>
                </c:pt>
                <c:pt idx="106">
                  <c:v>60.037570320952</c:v>
                </c:pt>
                <c:pt idx="107">
                  <c:v>60.037570320952</c:v>
                </c:pt>
                <c:pt idx="108">
                  <c:v>60.037570320952</c:v>
                </c:pt>
                <c:pt idx="109">
                  <c:v>60.037570320952</c:v>
                </c:pt>
                <c:pt idx="110">
                  <c:v>60.037570320952</c:v>
                </c:pt>
                <c:pt idx="111">
                  <c:v>60.037570320952</c:v>
                </c:pt>
                <c:pt idx="112">
                  <c:v>60.037570320952</c:v>
                </c:pt>
                <c:pt idx="113">
                  <c:v>60.037570320952</c:v>
                </c:pt>
                <c:pt idx="114">
                  <c:v>60.037570320952</c:v>
                </c:pt>
                <c:pt idx="115">
                  <c:v>60.037570320952</c:v>
                </c:pt>
                <c:pt idx="116">
                  <c:v>60.037570320952</c:v>
                </c:pt>
                <c:pt idx="117">
                  <c:v>60.037570320952</c:v>
                </c:pt>
              </c:numCache>
            </c:numRef>
          </c:val>
          <c:smooth val="1"/>
        </c:ser>
        <c:hiLowLines>
          <c:spPr>
            <a:ln w="0">
              <a:noFill/>
            </a:ln>
          </c:spPr>
        </c:hiLowLines>
        <c:marker val="0"/>
        <c:axId val="79313430"/>
        <c:axId val="46297906"/>
      </c:lineChart>
      <c:catAx>
        <c:axId val="7931343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Valid tests in time order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297906"/>
        <c:crosses val="autoZero"/>
        <c:auto val="1"/>
        <c:lblAlgn val="ctr"/>
        <c:lblOffset val="100"/>
        <c:noMultiLvlLbl val="0"/>
      </c:catAx>
      <c:valAx>
        <c:axId val="4629790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Delivery L/h</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931343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Provisional FMEA RPN by mode</a:t>
            </a:r>
          </a:p>
        </c:rich>
      </c:tx>
      <c:overlay val="0"/>
      <c:spPr>
        <a:noFill/>
        <a:ln w="0">
          <a:noFill/>
        </a:ln>
      </c:spPr>
    </c:title>
    <c:autoTitleDeleted val="0"/>
    <c:plotArea>
      <c:barChart>
        <c:barDir val="col"/>
        <c:grouping val="clustered"/>
        <c:varyColors val="0"/>
        <c:ser>
          <c:idx val="0"/>
          <c:order val="0"/>
          <c:tx>
            <c:strRef>
              <c:f>FMEA_Review!F1</c:f>
              <c:strCache>
                <c:ptCount val="1"/>
                <c:pt idx="0">
                  <c:v>RPN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FMEA_Review!$A$2:$A$7</c:f>
              <c:strCache>
                <c:ptCount val="6"/>
                <c:pt idx="0">
                  <c:v>FM01</c:v>
                </c:pt>
                <c:pt idx="1">
                  <c:v>FM02</c:v>
                </c:pt>
                <c:pt idx="2">
                  <c:v>FM03</c:v>
                </c:pt>
                <c:pt idx="3">
                  <c:v>FM04</c:v>
                </c:pt>
                <c:pt idx="4">
                  <c:v>FM05</c:v>
                </c:pt>
                <c:pt idx="5">
                  <c:v>FM06</c:v>
                </c:pt>
              </c:strCache>
            </c:strRef>
          </c:cat>
          <c:val>
            <c:numRef>
              <c:f>FMEA_Review!$F$2:$F$7</c:f>
              <c:numCache>
                <c:formatCode>0.00000</c:formatCode>
                <c:ptCount val="6"/>
                <c:pt idx="0">
                  <c:v>140</c:v>
                </c:pt>
                <c:pt idx="1">
                  <c:v>70</c:v>
                </c:pt>
                <c:pt idx="2">
                  <c:v>108</c:v>
                </c:pt>
                <c:pt idx="3">
                  <c:v>90</c:v>
                </c:pt>
                <c:pt idx="4">
                  <c:v>48</c:v>
                </c:pt>
                <c:pt idx="5">
                  <c:v>32</c:v>
                </c:pt>
              </c:numCache>
            </c:numRef>
          </c:val>
        </c:ser>
        <c:gapWidth val="150"/>
        <c:overlap val="0"/>
        <c:axId val="23269572"/>
        <c:axId val="52247962"/>
      </c:barChart>
      <c:catAx>
        <c:axId val="232695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2247962"/>
        <c:crosses val="autoZero"/>
        <c:auto val="1"/>
        <c:lblAlgn val="ctr"/>
        <c:lblOffset val="100"/>
        <c:noMultiLvlLbl val="0"/>
      </c:catAx>
      <c:valAx>
        <c:axId val="5224796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RPN</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26957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Baseline deviation categories</a:t>
            </a:r>
          </a:p>
        </c:rich>
      </c:tx>
      <c:overlay val="0"/>
      <c:spPr>
        <a:noFill/>
        <a:ln w="0">
          <a:noFill/>
        </a:ln>
      </c:spPr>
    </c:title>
    <c:autoTitleDeleted val="0"/>
    <c:plotArea>
      <c:barChart>
        <c:barDir val="col"/>
        <c:grouping val="clustered"/>
        <c:varyColors val="0"/>
        <c:ser>
          <c:idx val="0"/>
          <c:order val="0"/>
          <c:tx>
            <c:strRef>
              <c:f>Pareto!B1</c:f>
              <c:strCache>
                <c:ptCount val="1"/>
                <c:pt idx="0">
                  <c:v>count</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Pareto!$A$2:$A$5</c:f>
              <c:strCache>
                <c:ptCount val="4"/>
                <c:pt idx="0">
                  <c:v>Low delivery</c:v>
                </c:pt>
                <c:pt idx="1">
                  <c:v>Test validity</c:v>
                </c:pt>
                <c:pt idx="2">
                  <c:v>Missing evidence</c:v>
                </c:pt>
                <c:pt idx="3">
                  <c:v>Other</c:v>
                </c:pt>
              </c:strCache>
            </c:strRef>
          </c:cat>
          <c:val>
            <c:numRef>
              <c:f>Pareto!$B$2:$B$5</c:f>
              <c:numCache>
                <c:formatCode>0.00000</c:formatCode>
                <c:ptCount val="4"/>
                <c:pt idx="0">
                  <c:v>55</c:v>
                </c:pt>
                <c:pt idx="1">
                  <c:v>16</c:v>
                </c:pt>
                <c:pt idx="2">
                  <c:v>12</c:v>
                </c:pt>
                <c:pt idx="3">
                  <c:v>10</c:v>
                </c:pt>
              </c:numCache>
            </c:numRef>
          </c:val>
        </c:ser>
        <c:gapWidth val="150"/>
        <c:overlap val="0"/>
        <c:axId val="9405836"/>
        <c:axId val="52455723"/>
      </c:barChart>
      <c:lineChart>
        <c:grouping val="standard"/>
        <c:varyColors val="0"/>
        <c:ser>
          <c:idx val="1"/>
          <c:order val="1"/>
          <c:tx>
            <c:strRef>
              <c:f>Pareto!C1</c:f>
              <c:strCache>
                <c:ptCount val="1"/>
                <c:pt idx="0">
                  <c:v>cumulative_share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Pareto!$A$2:$A$5</c:f>
              <c:strCache>
                <c:ptCount val="4"/>
                <c:pt idx="0">
                  <c:v>Low delivery</c:v>
                </c:pt>
                <c:pt idx="1">
                  <c:v>Test validity</c:v>
                </c:pt>
                <c:pt idx="2">
                  <c:v>Missing evidence</c:v>
                </c:pt>
                <c:pt idx="3">
                  <c:v>Other</c:v>
                </c:pt>
              </c:strCache>
            </c:strRef>
          </c:cat>
          <c:val>
            <c:numRef>
              <c:f>Pareto!$C$2:$C$5</c:f>
              <c:numCache>
                <c:formatCode>0.00000</c:formatCode>
                <c:ptCount val="4"/>
                <c:pt idx="0">
                  <c:v>0.591397849462366</c:v>
                </c:pt>
                <c:pt idx="1">
                  <c:v>0.763440860215054</c:v>
                </c:pt>
                <c:pt idx="2">
                  <c:v>0.89247311827957</c:v>
                </c:pt>
                <c:pt idx="3">
                  <c:v>1</c:v>
                </c:pt>
              </c:numCache>
            </c:numRef>
          </c:val>
          <c:smooth val="1"/>
        </c:ser>
        <c:hiLowLines>
          <c:spPr>
            <a:ln w="0">
              <a:noFill/>
            </a:ln>
          </c:spPr>
        </c:hiLowLines>
        <c:marker val="0"/>
        <c:axId val="47963375"/>
        <c:axId val="30455926"/>
      </c:lineChart>
      <c:catAx>
        <c:axId val="94058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2455723"/>
        <c:crosses val="autoZero"/>
        <c:auto val="1"/>
        <c:lblAlgn val="ctr"/>
        <c:lblOffset val="100"/>
        <c:noMultiLvlLbl val="0"/>
      </c:catAx>
      <c:valAx>
        <c:axId val="52455723"/>
        <c:scaling>
          <c:orientation val="minMax"/>
        </c:scaling>
        <c:delete val="0"/>
        <c:axPos val="l"/>
        <c:majorGridlines>
          <c:spPr>
            <a:ln w="9360">
              <a:solidFill>
                <a:srgbClr val="878787"/>
              </a:solidFill>
              <a:round/>
            </a:ln>
          </c:spPr>
        </c:majorGridlines>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405836"/>
        <c:crosses val="autoZero"/>
        <c:crossBetween val="between"/>
      </c:valAx>
      <c:catAx>
        <c:axId val="47963375"/>
        <c:scaling>
          <c:orientation val="minMax"/>
        </c:scaling>
        <c:delete val="0"/>
        <c:axPos val="t"/>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455926"/>
        <c:crosses val="autoZero"/>
        <c:auto val="1"/>
        <c:lblAlgn val="ctr"/>
        <c:lblOffset val="100"/>
        <c:noMultiLvlLbl val="0"/>
      </c:catAx>
      <c:valAx>
        <c:axId val="30455926"/>
        <c:scaling>
          <c:orientation val="minMax"/>
          <c:max val="1"/>
          <c:min val="0"/>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Cumulative fraction</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7963375"/>
        <c:crosses val="max"/>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xdr:row>
      <xdr:rowOff>0</xdr:rowOff>
    </xdr:from>
    <xdr:to>
      <xdr:col>18</xdr:col>
      <xdr:colOff>78480</xdr:colOff>
      <xdr:row>8</xdr:row>
      <xdr:rowOff>52200</xdr:rowOff>
    </xdr:to>
    <xdr:graphicFrame>
      <xdr:nvGraphicFramePr>
        <xdr:cNvPr id="1" name="Chart 1"/>
        <xdr:cNvGraphicFramePr/>
      </xdr:nvGraphicFramePr>
      <xdr:xfrm>
        <a:off x="6109200" y="380880"/>
        <a:ext cx="8639640" cy="43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xdr:row>
      <xdr:rowOff>0</xdr:rowOff>
    </xdr:from>
    <xdr:to>
      <xdr:col>19</xdr:col>
      <xdr:colOff>507600</xdr:colOff>
      <xdr:row>5</xdr:row>
      <xdr:rowOff>261000</xdr:rowOff>
    </xdr:to>
    <xdr:graphicFrame>
      <xdr:nvGraphicFramePr>
        <xdr:cNvPr id="2" name="Chart 1"/>
        <xdr:cNvGraphicFramePr/>
      </xdr:nvGraphicFramePr>
      <xdr:xfrm>
        <a:off x="15060960" y="38088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xdr:row>
      <xdr:rowOff>0</xdr:rowOff>
    </xdr:from>
    <xdr:to>
      <xdr:col>12</xdr:col>
      <xdr:colOff>507600</xdr:colOff>
      <xdr:row>6</xdr:row>
      <xdr:rowOff>70560</xdr:rowOff>
    </xdr:to>
    <xdr:graphicFrame>
      <xdr:nvGraphicFramePr>
        <xdr:cNvPr id="3" name="Chart 1"/>
        <xdr:cNvGraphicFramePr/>
      </xdr:nvGraphicFramePr>
      <xdr:xfrm>
        <a:off x="5052240" y="38088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fectCounts" displayName="DefectCounts" ref="A1:C5" headerRowCount="1" totalsRowCount="0" totalsRowShown="0">
  <autoFilter ref="A1:C5"/>
  <tableColumns count="3">
    <tableColumn id="1" name="category"/>
    <tableColumn id="2" name="baseline_count"/>
    <tableColumn id="3" name="evidence_status"/>
  </tableColumns>
</table>
</file>

<file path=xl/tables/table2.xml><?xml version="1.0" encoding="utf-8"?>
<table xmlns="http://schemas.openxmlformats.org/spreadsheetml/2006/main" id="2" name="Evidence" displayName="Evidence" ref="A1:F7" headerRowCount="1" totalsRowCount="0" totalsRowShown="0">
  <autoFilter ref="A1:F7"/>
  <tableColumns count="6">
    <tableColumn id="1" name="record_id"/>
    <tableColumn id="2" name="type"/>
    <tableColumn id="3" name="revision"/>
    <tableColumn id="4" name="timestamp_or_date"/>
    <tableColumn id="5" name="status"/>
    <tableColumn id="6" name="content"/>
  </tableColumns>
</table>
</file>

<file path=xl/tables/table3.xml><?xml version="1.0" encoding="utf-8"?>
<table xmlns="http://schemas.openxmlformats.org/spreadsheetml/2006/main" id="3" name="FMEA_Input" displayName="FMEA_Input" ref="A1:L7" headerRowCount="1" totalsRowCount="0" totalsRowShown="0">
  <autoFilter ref="A1:L7"/>
  <tableColumns count="12">
    <tableColumn id="1" name="mode_id"/>
    <tableColumn id="2" name="function"/>
    <tableColumn id="3" name="failure_mode"/>
    <tableColumn id="4" name="effect"/>
    <tableColumn id="5" name="potential_cause"/>
    <tableColumn id="6" name="current_control"/>
    <tableColumn id="7" name="evidence"/>
    <tableColumn id="8" name="S_provisional"/>
    <tableColumn id="9" name="O_provisional"/>
    <tableColumn id="10" name="D_provisional"/>
    <tableColumn id="11" name="proposed_action"/>
    <tableColumn id="12" name="role_owner"/>
  </tableColumns>
</table>
</file>

<file path=xl/tables/table4.xml><?xml version="1.0" encoding="utf-8"?>
<table xmlns="http://schemas.openxmlformats.org/spreadsheetml/2006/main" id="4" name="RawTests" displayName="RawTests" ref="A1:N122" headerRowCount="1" totalsRowCount="0" totalsRowShown="0">
  <autoFilter ref="A1:N122"/>
  <tableColumns count="14">
    <tableColumn id="1" name="test_id"/>
    <tableColumn id="2" name="timestamp_SGT"/>
    <tableColumn id="3" name="phase"/>
    <tableColumn id="4" name="shift"/>
    <tableColumn id="5" name="pump_tag"/>
    <tableColumn id="6" name="flow_instrument"/>
    <tableColumn id="7" name="collection_vessel"/>
    <tableColumn id="8" name="commanded_L_h"/>
    <tableColumn id="9" name="collected_L"/>
    <tableColumn id="10" name="duration_s"/>
    <tableColumn id="11" name="strainer_dp_bar"/>
    <tableColumn id="12" name="ambient_C"/>
    <tableColumn id="13" name="quality_flag"/>
    <tableColumn id="14" name="calibration_record"/>
  </tableColumns>
</table>
</file>

<file path=xl/tables/table5.xml><?xml version="1.0" encoding="utf-8"?>
<table xmlns="http://schemas.openxmlformats.org/spreadsheetml/2006/main" id="5" name="ValidTests" displayName="ValidTests" ref="A1:H119" headerRowCount="1" totalsRowCount="0" totalsRowShown="0">
  <autoFilter ref="A1:H119"/>
  <tableColumns count="8">
    <tableColumn id="1" name="test_id"/>
    <tableColumn id="2" name="timestamp_SGT"/>
    <tableColumn id="3" name="phase"/>
    <tableColumn id="4" name="shift"/>
    <tableColumn id="5" name="pump_tag"/>
    <tableColumn id="6" name="collected_L"/>
    <tableColumn id="7" name="delivery_L_h"/>
    <tableColumn id="8" name="strainer_dp_bar"/>
  </tableColumns>
</table>
</file>

<file path=xl/tables/table6.xml><?xml version="1.0" encoding="utf-8"?>
<table xmlns="http://schemas.openxmlformats.org/spreadsheetml/2006/main" id="6" name="WeeklyEvents" displayName="WeeklyEvents" ref="A1:E9" headerRowCount="1" totalsRowCount="0" totalsRowShown="0">
  <autoFilter ref="A1:E9"/>
  <tableColumns count="5">
    <tableColumn id="1" name="week"/>
    <tableColumn id="2" name="phase"/>
    <tableColumn id="3" name="test_opportunities"/>
    <tableColumn id="4" name="deviations"/>
    <tableColumn id="5" name="definition"/>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3.xml.rels><?xml version="1.0" encoding="UTF-8"?>
<Relationships xmlns="http://schemas.openxmlformats.org/package/2006/relationships"><Relationship Id="rId1"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3.xml"/>
</Relationships>
</file>

<file path=xl/worksheets/_rels/sheet6.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1.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4.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2" min="2" style="0" width="100"/>
  </cols>
  <sheetData>
    <row r="1" customFormat="false" ht="30" hidden="false" customHeight="true" outlineLevel="0" collapsed="false">
      <c r="A1" s="1" t="s">
        <v>0</v>
      </c>
      <c r="B1" s="1" t="s">
        <v>1</v>
      </c>
    </row>
    <row r="2" customFormat="false" ht="72" hidden="false" customHeight="true" outlineLevel="0" collapsed="false">
      <c r="A2" s="2" t="s">
        <v>2</v>
      </c>
      <c r="B2" s="2" t="s">
        <v>3</v>
      </c>
    </row>
    <row r="3" customFormat="false" ht="99.75" hidden="false" customHeight="true" outlineLevel="0" collapsed="false">
      <c r="A3" s="2" t="s">
        <v>4</v>
      </c>
      <c r="B3" s="2" t="s">
        <v>5</v>
      </c>
    </row>
    <row r="4" customFormat="false" ht="72" hidden="false" customHeight="true" outlineLevel="0" collapsed="false">
      <c r="A4" s="2" t="s">
        <v>6</v>
      </c>
      <c r="B4" s="2" t="s">
        <v>7</v>
      </c>
    </row>
    <row r="5" customFormat="false" ht="189.75" hidden="false" customHeight="true" outlineLevel="0" collapsed="false">
      <c r="A5" s="2" t="s">
        <v>8</v>
      </c>
      <c r="B5" s="2" t="s">
        <v>9</v>
      </c>
    </row>
    <row r="6" customFormat="false" ht="54.75" hidden="false" customHeight="true" outlineLevel="0" collapsed="false">
      <c r="A6" s="2" t="s">
        <v>10</v>
      </c>
      <c r="B6" s="2"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6" min="3" style="0" width="16"/>
    <col collapsed="false" customWidth="true" hidden="false" outlineLevel="0" max="7" min="7" style="0" width="18"/>
    <col collapsed="false" customWidth="true" hidden="false" outlineLevel="0" max="13" min="8" style="0" width="16"/>
    <col collapsed="false" customWidth="true" hidden="false" outlineLevel="0" max="14" min="14" style="0" width="19"/>
  </cols>
  <sheetData>
    <row r="1" customFormat="false" ht="30" hidden="false" customHeight="true" outlineLevel="0" collapsed="false">
      <c r="A1" s="1" t="s">
        <v>12</v>
      </c>
      <c r="B1" s="1" t="s">
        <v>13</v>
      </c>
      <c r="C1" s="1" t="s">
        <v>14</v>
      </c>
      <c r="D1" s="1" t="s">
        <v>15</v>
      </c>
      <c r="E1" s="1" t="s">
        <v>16</v>
      </c>
      <c r="F1" s="1" t="s">
        <v>17</v>
      </c>
      <c r="G1" s="1" t="s">
        <v>18</v>
      </c>
      <c r="H1" s="1" t="s">
        <v>19</v>
      </c>
      <c r="I1" s="1" t="s">
        <v>20</v>
      </c>
      <c r="J1" s="1" t="s">
        <v>21</v>
      </c>
      <c r="K1" s="1" t="s">
        <v>22</v>
      </c>
      <c r="L1" s="1" t="s">
        <v>23</v>
      </c>
      <c r="M1" s="1" t="s">
        <v>24</v>
      </c>
      <c r="N1" s="1" t="s">
        <v>25</v>
      </c>
    </row>
    <row r="2" customFormat="false" ht="15" hidden="false" customHeight="false" outlineLevel="0" collapsed="false">
      <c r="A2" s="2" t="s">
        <v>26</v>
      </c>
      <c r="B2" s="2" t="s">
        <v>27</v>
      </c>
      <c r="C2" s="2" t="s">
        <v>28</v>
      </c>
      <c r="D2" s="2" t="s">
        <v>29</v>
      </c>
      <c r="E2" s="2" t="s">
        <v>30</v>
      </c>
      <c r="F2" s="2" t="s">
        <v>31</v>
      </c>
      <c r="G2" s="2" t="s">
        <v>32</v>
      </c>
      <c r="H2" s="2" t="n">
        <v>62</v>
      </c>
      <c r="I2" s="2" t="n">
        <v>2.052</v>
      </c>
      <c r="J2" s="2" t="n">
        <v>120</v>
      </c>
      <c r="K2" s="2" t="n">
        <v>0.216</v>
      </c>
      <c r="L2" s="2" t="n">
        <v>28.2</v>
      </c>
      <c r="M2" s="2" t="s">
        <v>33</v>
      </c>
      <c r="N2" s="2" t="s">
        <v>34</v>
      </c>
    </row>
    <row r="3" customFormat="false" ht="15" hidden="false" customHeight="false" outlineLevel="0" collapsed="false">
      <c r="A3" s="2" t="s">
        <v>35</v>
      </c>
      <c r="B3" s="2" t="s">
        <v>36</v>
      </c>
      <c r="C3" s="2" t="s">
        <v>28</v>
      </c>
      <c r="D3" s="2" t="s">
        <v>29</v>
      </c>
      <c r="E3" s="2" t="s">
        <v>30</v>
      </c>
      <c r="F3" s="2" t="s">
        <v>31</v>
      </c>
      <c r="G3" s="2" t="s">
        <v>32</v>
      </c>
      <c r="H3" s="2" t="n">
        <v>62</v>
      </c>
      <c r="I3" s="2" t="n">
        <v>2.051</v>
      </c>
      <c r="J3" s="2" t="n">
        <v>120</v>
      </c>
      <c r="K3" s="2" t="n">
        <v>0.167</v>
      </c>
      <c r="L3" s="2" t="n">
        <v>28.3</v>
      </c>
      <c r="M3" s="2" t="s">
        <v>33</v>
      </c>
      <c r="N3" s="2" t="s">
        <v>34</v>
      </c>
    </row>
    <row r="4" customFormat="false" ht="15" hidden="false" customHeight="false" outlineLevel="0" collapsed="false">
      <c r="A4" s="2" t="s">
        <v>37</v>
      </c>
      <c r="B4" s="2" t="s">
        <v>38</v>
      </c>
      <c r="C4" s="2" t="s">
        <v>28</v>
      </c>
      <c r="D4" s="2" t="s">
        <v>29</v>
      </c>
      <c r="E4" s="2" t="s">
        <v>30</v>
      </c>
      <c r="F4" s="2" t="s">
        <v>31</v>
      </c>
      <c r="G4" s="2" t="s">
        <v>32</v>
      </c>
      <c r="H4" s="2" t="n">
        <v>62</v>
      </c>
      <c r="I4" s="2" t="n">
        <v>2.066</v>
      </c>
      <c r="J4" s="2" t="n">
        <v>120</v>
      </c>
      <c r="K4" s="2" t="n">
        <v>0.199</v>
      </c>
      <c r="L4" s="2" t="n">
        <v>27.6</v>
      </c>
      <c r="M4" s="2" t="s">
        <v>33</v>
      </c>
      <c r="N4" s="2" t="s">
        <v>34</v>
      </c>
    </row>
    <row r="5" customFormat="false" ht="15" hidden="false" customHeight="false" outlineLevel="0" collapsed="false">
      <c r="A5" s="2" t="s">
        <v>39</v>
      </c>
      <c r="B5" s="2" t="s">
        <v>40</v>
      </c>
      <c r="C5" s="2" t="s">
        <v>28</v>
      </c>
      <c r="D5" s="2" t="s">
        <v>29</v>
      </c>
      <c r="E5" s="2" t="s">
        <v>30</v>
      </c>
      <c r="F5" s="2" t="s">
        <v>31</v>
      </c>
      <c r="G5" s="2" t="s">
        <v>32</v>
      </c>
      <c r="H5" s="2" t="n">
        <v>62</v>
      </c>
      <c r="I5" s="2" t="n">
        <v>2.104</v>
      </c>
      <c r="J5" s="2" t="n">
        <v>120</v>
      </c>
      <c r="K5" s="2" t="n">
        <v>0.191</v>
      </c>
      <c r="L5" s="2" t="n">
        <v>26.8</v>
      </c>
      <c r="M5" s="2" t="s">
        <v>33</v>
      </c>
      <c r="N5" s="2" t="s">
        <v>34</v>
      </c>
    </row>
    <row r="6" customFormat="false" ht="15" hidden="false" customHeight="false" outlineLevel="0" collapsed="false">
      <c r="A6" s="2" t="s">
        <v>41</v>
      </c>
      <c r="B6" s="2" t="s">
        <v>42</v>
      </c>
      <c r="C6" s="2" t="s">
        <v>28</v>
      </c>
      <c r="D6" s="2" t="s">
        <v>29</v>
      </c>
      <c r="E6" s="2" t="s">
        <v>30</v>
      </c>
      <c r="F6" s="2" t="s">
        <v>31</v>
      </c>
      <c r="G6" s="2" t="s">
        <v>32</v>
      </c>
      <c r="H6" s="2" t="n">
        <v>62</v>
      </c>
      <c r="I6" s="2" t="n">
        <v>2.059</v>
      </c>
      <c r="J6" s="2" t="n">
        <v>120</v>
      </c>
      <c r="K6" s="2" t="n">
        <v>0.194</v>
      </c>
      <c r="L6" s="2" t="n">
        <v>27.2</v>
      </c>
      <c r="M6" s="2" t="s">
        <v>33</v>
      </c>
      <c r="N6" s="2" t="s">
        <v>34</v>
      </c>
    </row>
    <row r="7" customFormat="false" ht="15" hidden="false" customHeight="false" outlineLevel="0" collapsed="false">
      <c r="A7" s="2" t="s">
        <v>43</v>
      </c>
      <c r="B7" s="2" t="s">
        <v>44</v>
      </c>
      <c r="C7" s="2" t="s">
        <v>28</v>
      </c>
      <c r="D7" s="2" t="s">
        <v>29</v>
      </c>
      <c r="E7" s="2" t="s">
        <v>30</v>
      </c>
      <c r="F7" s="2" t="s">
        <v>31</v>
      </c>
      <c r="G7" s="2" t="s">
        <v>32</v>
      </c>
      <c r="H7" s="2" t="n">
        <v>62</v>
      </c>
      <c r="I7" s="2" t="n">
        <v>2.069</v>
      </c>
      <c r="J7" s="2" t="n">
        <v>120</v>
      </c>
      <c r="K7" s="2" t="n">
        <v>0.149</v>
      </c>
      <c r="L7" s="2" t="n">
        <v>27.5</v>
      </c>
      <c r="M7" s="2" t="s">
        <v>33</v>
      </c>
      <c r="N7" s="2" t="s">
        <v>34</v>
      </c>
    </row>
    <row r="8" customFormat="false" ht="15" hidden="false" customHeight="false" outlineLevel="0" collapsed="false">
      <c r="A8" s="2" t="s">
        <v>45</v>
      </c>
      <c r="B8" s="2" t="s">
        <v>46</v>
      </c>
      <c r="C8" s="2" t="s">
        <v>28</v>
      </c>
      <c r="D8" s="2" t="s">
        <v>47</v>
      </c>
      <c r="E8" s="2" t="s">
        <v>30</v>
      </c>
      <c r="F8" s="2" t="s">
        <v>31</v>
      </c>
      <c r="G8" s="2" t="s">
        <v>32</v>
      </c>
      <c r="H8" s="2" t="n">
        <v>62</v>
      </c>
      <c r="I8" s="2" t="n">
        <v>2.038</v>
      </c>
      <c r="J8" s="2" t="n">
        <v>120</v>
      </c>
      <c r="K8" s="2" t="n">
        <v>0.162</v>
      </c>
      <c r="L8" s="2" t="n">
        <v>26.3</v>
      </c>
      <c r="M8" s="2" t="s">
        <v>33</v>
      </c>
      <c r="N8" s="2" t="s">
        <v>34</v>
      </c>
    </row>
    <row r="9" customFormat="false" ht="15" hidden="false" customHeight="false" outlineLevel="0" collapsed="false">
      <c r="A9" s="2" t="s">
        <v>48</v>
      </c>
      <c r="B9" s="2" t="s">
        <v>49</v>
      </c>
      <c r="C9" s="2" t="s">
        <v>28</v>
      </c>
      <c r="D9" s="2" t="s">
        <v>47</v>
      </c>
      <c r="E9" s="2" t="s">
        <v>30</v>
      </c>
      <c r="F9" s="2" t="s">
        <v>31</v>
      </c>
      <c r="G9" s="2" t="s">
        <v>32</v>
      </c>
      <c r="H9" s="2" t="n">
        <v>62</v>
      </c>
      <c r="I9" s="2" t="n">
        <v>2.045</v>
      </c>
      <c r="J9" s="2" t="n">
        <v>120</v>
      </c>
      <c r="K9" s="2" t="n">
        <v>0.165</v>
      </c>
      <c r="L9" s="2" t="n">
        <v>28.2</v>
      </c>
      <c r="M9" s="2" t="s">
        <v>33</v>
      </c>
      <c r="N9" s="2" t="s">
        <v>34</v>
      </c>
    </row>
    <row r="10" customFormat="false" ht="15" hidden="false" customHeight="false" outlineLevel="0" collapsed="false">
      <c r="A10" s="2" t="s">
        <v>50</v>
      </c>
      <c r="B10" s="2" t="s">
        <v>51</v>
      </c>
      <c r="C10" s="2" t="s">
        <v>28</v>
      </c>
      <c r="D10" s="2" t="s">
        <v>47</v>
      </c>
      <c r="E10" s="2" t="s">
        <v>30</v>
      </c>
      <c r="F10" s="2" t="s">
        <v>31</v>
      </c>
      <c r="G10" s="2" t="s">
        <v>32</v>
      </c>
      <c r="H10" s="2" t="n">
        <v>62</v>
      </c>
      <c r="I10" s="2" t="n">
        <v>2.06</v>
      </c>
      <c r="J10" s="2" t="n">
        <v>120</v>
      </c>
      <c r="K10" s="2" t="n">
        <v>0.199</v>
      </c>
      <c r="L10" s="2" t="n">
        <v>28.9</v>
      </c>
      <c r="M10" s="2" t="s">
        <v>33</v>
      </c>
      <c r="N10" s="2" t="s">
        <v>34</v>
      </c>
    </row>
    <row r="11" customFormat="false" ht="15" hidden="false" customHeight="false" outlineLevel="0" collapsed="false">
      <c r="A11" s="2" t="s">
        <v>52</v>
      </c>
      <c r="B11" s="2" t="s">
        <v>53</v>
      </c>
      <c r="C11" s="2" t="s">
        <v>28</v>
      </c>
      <c r="D11" s="2" t="s">
        <v>47</v>
      </c>
      <c r="E11" s="2" t="s">
        <v>30</v>
      </c>
      <c r="F11" s="2" t="s">
        <v>31</v>
      </c>
      <c r="G11" s="2" t="s">
        <v>32</v>
      </c>
      <c r="H11" s="2" t="n">
        <v>62</v>
      </c>
      <c r="I11" s="2" t="n">
        <v>2.079</v>
      </c>
      <c r="J11" s="2" t="n">
        <v>120</v>
      </c>
      <c r="K11" s="2" t="n">
        <v>0.158</v>
      </c>
      <c r="L11" s="2" t="n">
        <v>27.7</v>
      </c>
      <c r="M11" s="2" t="s">
        <v>33</v>
      </c>
      <c r="N11" s="2" t="s">
        <v>34</v>
      </c>
    </row>
    <row r="12" customFormat="false" ht="15" hidden="false" customHeight="false" outlineLevel="0" collapsed="false">
      <c r="A12" s="2" t="s">
        <v>54</v>
      </c>
      <c r="B12" s="2" t="s">
        <v>55</v>
      </c>
      <c r="C12" s="2" t="s">
        <v>28</v>
      </c>
      <c r="D12" s="2" t="s">
        <v>47</v>
      </c>
      <c r="E12" s="2" t="s">
        <v>30</v>
      </c>
      <c r="F12" s="2" t="s">
        <v>31</v>
      </c>
      <c r="G12" s="2" t="s">
        <v>32</v>
      </c>
      <c r="H12" s="2" t="n">
        <v>62</v>
      </c>
      <c r="I12" s="2" t="n">
        <v>2.092</v>
      </c>
      <c r="J12" s="2" t="n">
        <v>120</v>
      </c>
      <c r="K12" s="2" t="n">
        <v>0.186</v>
      </c>
      <c r="L12" s="2" t="n">
        <v>30.4</v>
      </c>
      <c r="M12" s="2" t="s">
        <v>33</v>
      </c>
      <c r="N12" s="2" t="s">
        <v>34</v>
      </c>
    </row>
    <row r="13" customFormat="false" ht="15" hidden="false" customHeight="false" outlineLevel="0" collapsed="false">
      <c r="A13" s="2" t="s">
        <v>56</v>
      </c>
      <c r="B13" s="2" t="s">
        <v>57</v>
      </c>
      <c r="C13" s="2" t="s">
        <v>28</v>
      </c>
      <c r="D13" s="2" t="s">
        <v>47</v>
      </c>
      <c r="E13" s="2" t="s">
        <v>30</v>
      </c>
      <c r="F13" s="2" t="s">
        <v>31</v>
      </c>
      <c r="G13" s="2" t="s">
        <v>32</v>
      </c>
      <c r="H13" s="2" t="n">
        <v>62</v>
      </c>
      <c r="I13" s="2" t="n">
        <v>2.067</v>
      </c>
      <c r="J13" s="2" t="n">
        <v>120</v>
      </c>
      <c r="K13" s="2" t="n">
        <v>0.157</v>
      </c>
      <c r="L13" s="2" t="n">
        <v>27.7</v>
      </c>
      <c r="M13" s="2" t="s">
        <v>33</v>
      </c>
      <c r="N13" s="2" t="s">
        <v>34</v>
      </c>
    </row>
    <row r="14" customFormat="false" ht="15" hidden="false" customHeight="false" outlineLevel="0" collapsed="false">
      <c r="A14" s="2" t="s">
        <v>58</v>
      </c>
      <c r="B14" s="2" t="s">
        <v>59</v>
      </c>
      <c r="C14" s="2" t="s">
        <v>28</v>
      </c>
      <c r="D14" s="2" t="s">
        <v>29</v>
      </c>
      <c r="E14" s="2" t="s">
        <v>30</v>
      </c>
      <c r="F14" s="2" t="s">
        <v>31</v>
      </c>
      <c r="G14" s="2" t="s">
        <v>32</v>
      </c>
      <c r="H14" s="2" t="n">
        <v>62</v>
      </c>
      <c r="I14" s="2" t="n">
        <v>2.089</v>
      </c>
      <c r="J14" s="2" t="n">
        <v>120</v>
      </c>
      <c r="K14" s="2" t="n">
        <v>0.173</v>
      </c>
      <c r="L14" s="2" t="n">
        <v>26.9</v>
      </c>
      <c r="M14" s="2" t="s">
        <v>33</v>
      </c>
      <c r="N14" s="2" t="s">
        <v>34</v>
      </c>
    </row>
    <row r="15" customFormat="false" ht="15" hidden="false" customHeight="false" outlineLevel="0" collapsed="false">
      <c r="A15" s="2" t="s">
        <v>60</v>
      </c>
      <c r="B15" s="2" t="s">
        <v>61</v>
      </c>
      <c r="C15" s="2" t="s">
        <v>28</v>
      </c>
      <c r="D15" s="2" t="s">
        <v>29</v>
      </c>
      <c r="E15" s="2" t="s">
        <v>30</v>
      </c>
      <c r="F15" s="2" t="s">
        <v>31</v>
      </c>
      <c r="G15" s="2" t="s">
        <v>32</v>
      </c>
      <c r="H15" s="2" t="n">
        <v>62</v>
      </c>
      <c r="I15" s="2" t="n">
        <v>2.058</v>
      </c>
      <c r="J15" s="2" t="n">
        <v>120</v>
      </c>
      <c r="K15" s="2" t="n">
        <v>0.194</v>
      </c>
      <c r="L15" s="2" t="n">
        <v>26.2</v>
      </c>
      <c r="M15" s="2" t="s">
        <v>33</v>
      </c>
      <c r="N15" s="2" t="s">
        <v>34</v>
      </c>
    </row>
    <row r="16" customFormat="false" ht="15" hidden="false" customHeight="false" outlineLevel="0" collapsed="false">
      <c r="A16" s="2" t="s">
        <v>62</v>
      </c>
      <c r="B16" s="2" t="s">
        <v>63</v>
      </c>
      <c r="C16" s="2" t="s">
        <v>28</v>
      </c>
      <c r="D16" s="2" t="s">
        <v>29</v>
      </c>
      <c r="E16" s="2" t="s">
        <v>30</v>
      </c>
      <c r="F16" s="2" t="s">
        <v>31</v>
      </c>
      <c r="G16" s="2" t="s">
        <v>32</v>
      </c>
      <c r="H16" s="2" t="n">
        <v>62</v>
      </c>
      <c r="I16" s="2" t="n">
        <v>2.094</v>
      </c>
      <c r="J16" s="2" t="n">
        <v>120</v>
      </c>
      <c r="K16" s="2" t="n">
        <v>0.203</v>
      </c>
      <c r="L16" s="2" t="n">
        <v>27.5</v>
      </c>
      <c r="M16" s="2" t="s">
        <v>33</v>
      </c>
      <c r="N16" s="2" t="s">
        <v>34</v>
      </c>
    </row>
    <row r="17" customFormat="false" ht="15" hidden="false" customHeight="false" outlineLevel="0" collapsed="false">
      <c r="A17" s="2" t="s">
        <v>64</v>
      </c>
      <c r="B17" s="2" t="s">
        <v>65</v>
      </c>
      <c r="C17" s="2" t="s">
        <v>28</v>
      </c>
      <c r="D17" s="2" t="s">
        <v>29</v>
      </c>
      <c r="E17" s="2" t="s">
        <v>30</v>
      </c>
      <c r="F17" s="2" t="s">
        <v>31</v>
      </c>
      <c r="G17" s="2" t="s">
        <v>32</v>
      </c>
      <c r="H17" s="2" t="n">
        <v>62</v>
      </c>
      <c r="I17" s="2" t="n">
        <v>2.069</v>
      </c>
      <c r="J17" s="2" t="n">
        <v>120</v>
      </c>
      <c r="K17" s="2" t="n">
        <v>0.207</v>
      </c>
      <c r="L17" s="2" t="n">
        <v>27.1</v>
      </c>
      <c r="M17" s="2" t="s">
        <v>33</v>
      </c>
      <c r="N17" s="2" t="s">
        <v>34</v>
      </c>
    </row>
    <row r="18" customFormat="false" ht="15" hidden="false" customHeight="false" outlineLevel="0" collapsed="false">
      <c r="A18" s="2" t="s">
        <v>66</v>
      </c>
      <c r="B18" s="2" t="s">
        <v>67</v>
      </c>
      <c r="C18" s="2" t="s">
        <v>28</v>
      </c>
      <c r="D18" s="2" t="s">
        <v>29</v>
      </c>
      <c r="E18" s="2" t="s">
        <v>30</v>
      </c>
      <c r="F18" s="2" t="s">
        <v>31</v>
      </c>
      <c r="G18" s="2" t="s">
        <v>32</v>
      </c>
      <c r="H18" s="2" t="n">
        <v>62</v>
      </c>
      <c r="I18" s="2" t="n">
        <v>2.058</v>
      </c>
      <c r="J18" s="2" t="n">
        <v>120</v>
      </c>
      <c r="K18" s="2" t="n">
        <v>0.144</v>
      </c>
      <c r="L18" s="2" t="n">
        <v>27.4</v>
      </c>
      <c r="M18" s="2" t="s">
        <v>33</v>
      </c>
      <c r="N18" s="2" t="s">
        <v>34</v>
      </c>
    </row>
    <row r="19" customFormat="false" ht="15" hidden="false" customHeight="false" outlineLevel="0" collapsed="false">
      <c r="A19" s="2" t="s">
        <v>68</v>
      </c>
      <c r="B19" s="2" t="s">
        <v>69</v>
      </c>
      <c r="C19" s="2" t="s">
        <v>28</v>
      </c>
      <c r="D19" s="2" t="s">
        <v>29</v>
      </c>
      <c r="E19" s="2" t="s">
        <v>30</v>
      </c>
      <c r="F19" s="2" t="s">
        <v>31</v>
      </c>
      <c r="G19" s="2" t="s">
        <v>32</v>
      </c>
      <c r="H19" s="2" t="n">
        <v>62</v>
      </c>
      <c r="I19" s="2" t="n">
        <v>2.088</v>
      </c>
      <c r="J19" s="2" t="n">
        <v>120</v>
      </c>
      <c r="K19" s="2" t="n">
        <v>0.173</v>
      </c>
      <c r="L19" s="2" t="n">
        <v>26.8</v>
      </c>
      <c r="M19" s="2" t="s">
        <v>33</v>
      </c>
      <c r="N19" s="2" t="s">
        <v>34</v>
      </c>
    </row>
    <row r="20" customFormat="false" ht="15" hidden="false" customHeight="false" outlineLevel="0" collapsed="false">
      <c r="A20" s="2" t="s">
        <v>70</v>
      </c>
      <c r="B20" s="2" t="s">
        <v>71</v>
      </c>
      <c r="C20" s="2" t="s">
        <v>28</v>
      </c>
      <c r="D20" s="2" t="s">
        <v>47</v>
      </c>
      <c r="E20" s="2" t="s">
        <v>30</v>
      </c>
      <c r="F20" s="2" t="s">
        <v>31</v>
      </c>
      <c r="G20" s="2" t="s">
        <v>32</v>
      </c>
      <c r="H20" s="2" t="n">
        <v>62</v>
      </c>
      <c r="I20" s="2" t="n">
        <v>2.098</v>
      </c>
      <c r="J20" s="2" t="n">
        <v>120</v>
      </c>
      <c r="K20" s="2" t="n">
        <v>0.185</v>
      </c>
      <c r="L20" s="2" t="n">
        <v>26.6</v>
      </c>
      <c r="M20" s="2" t="s">
        <v>33</v>
      </c>
      <c r="N20" s="2" t="s">
        <v>34</v>
      </c>
    </row>
    <row r="21" customFormat="false" ht="15" hidden="false" customHeight="false" outlineLevel="0" collapsed="false">
      <c r="A21" s="2" t="s">
        <v>72</v>
      </c>
      <c r="B21" s="2" t="s">
        <v>73</v>
      </c>
      <c r="C21" s="2" t="s">
        <v>28</v>
      </c>
      <c r="D21" s="2" t="s">
        <v>47</v>
      </c>
      <c r="E21" s="2" t="s">
        <v>30</v>
      </c>
      <c r="F21" s="2" t="s">
        <v>31</v>
      </c>
      <c r="G21" s="2" t="s">
        <v>32</v>
      </c>
      <c r="H21" s="2" t="n">
        <v>62</v>
      </c>
      <c r="I21" s="2" t="n">
        <v>2.054</v>
      </c>
      <c r="J21" s="2" t="n">
        <v>120</v>
      </c>
      <c r="K21" s="2" t="n">
        <v>0.186</v>
      </c>
      <c r="L21" s="2" t="n">
        <v>29.3</v>
      </c>
      <c r="M21" s="2" t="s">
        <v>33</v>
      </c>
      <c r="N21" s="2" t="s">
        <v>34</v>
      </c>
    </row>
    <row r="22" customFormat="false" ht="15" hidden="false" customHeight="false" outlineLevel="0" collapsed="false">
      <c r="A22" s="2" t="s">
        <v>74</v>
      </c>
      <c r="B22" s="2" t="s">
        <v>75</v>
      </c>
      <c r="C22" s="2" t="s">
        <v>28</v>
      </c>
      <c r="D22" s="2" t="s">
        <v>47</v>
      </c>
      <c r="E22" s="2" t="s">
        <v>30</v>
      </c>
      <c r="F22" s="2" t="s">
        <v>31</v>
      </c>
      <c r="G22" s="2" t="s">
        <v>32</v>
      </c>
      <c r="H22" s="2" t="n">
        <v>62</v>
      </c>
      <c r="I22" s="2" t="n">
        <v>2.039</v>
      </c>
      <c r="J22" s="2" t="n">
        <v>120</v>
      </c>
      <c r="K22" s="2" t="n">
        <v>0.189</v>
      </c>
      <c r="L22" s="2" t="n">
        <v>28.9</v>
      </c>
      <c r="M22" s="2" t="s">
        <v>33</v>
      </c>
      <c r="N22" s="2" t="s">
        <v>34</v>
      </c>
    </row>
    <row r="23" customFormat="false" ht="15" hidden="false" customHeight="false" outlineLevel="0" collapsed="false">
      <c r="A23" s="2" t="s">
        <v>76</v>
      </c>
      <c r="B23" s="2" t="s">
        <v>77</v>
      </c>
      <c r="C23" s="2" t="s">
        <v>28</v>
      </c>
      <c r="D23" s="2" t="s">
        <v>47</v>
      </c>
      <c r="E23" s="2" t="s">
        <v>30</v>
      </c>
      <c r="F23" s="2" t="s">
        <v>31</v>
      </c>
      <c r="G23" s="2" t="s">
        <v>32</v>
      </c>
      <c r="H23" s="2" t="n">
        <v>62</v>
      </c>
      <c r="I23" s="2" t="n">
        <v>2.052</v>
      </c>
      <c r="J23" s="2" t="n">
        <v>120</v>
      </c>
      <c r="K23" s="2" t="n">
        <v>0.193</v>
      </c>
      <c r="L23" s="2" t="n">
        <v>26.6</v>
      </c>
      <c r="M23" s="2" t="s">
        <v>33</v>
      </c>
      <c r="N23" s="2" t="s">
        <v>34</v>
      </c>
    </row>
    <row r="24" customFormat="false" ht="15" hidden="false" customHeight="false" outlineLevel="0" collapsed="false">
      <c r="A24" s="2" t="s">
        <v>78</v>
      </c>
      <c r="B24" s="2" t="s">
        <v>79</v>
      </c>
      <c r="C24" s="2" t="s">
        <v>28</v>
      </c>
      <c r="D24" s="2" t="s">
        <v>47</v>
      </c>
      <c r="E24" s="2" t="s">
        <v>30</v>
      </c>
      <c r="F24" s="2" t="s">
        <v>31</v>
      </c>
      <c r="G24" s="2" t="s">
        <v>32</v>
      </c>
      <c r="H24" s="2" t="n">
        <v>62</v>
      </c>
      <c r="I24" s="2" t="n">
        <v>2.101</v>
      </c>
      <c r="J24" s="2" t="n">
        <v>120</v>
      </c>
      <c r="K24" s="2" t="n">
        <v>0.188</v>
      </c>
      <c r="L24" s="2" t="n">
        <v>29</v>
      </c>
      <c r="M24" s="2" t="s">
        <v>33</v>
      </c>
      <c r="N24" s="2" t="s">
        <v>34</v>
      </c>
    </row>
    <row r="25" customFormat="false" ht="15" hidden="false" customHeight="false" outlineLevel="0" collapsed="false">
      <c r="A25" s="2" t="s">
        <v>80</v>
      </c>
      <c r="B25" s="2" t="s">
        <v>81</v>
      </c>
      <c r="C25" s="2" t="s">
        <v>28</v>
      </c>
      <c r="D25" s="2" t="s">
        <v>47</v>
      </c>
      <c r="E25" s="2" t="s">
        <v>30</v>
      </c>
      <c r="F25" s="2" t="s">
        <v>31</v>
      </c>
      <c r="G25" s="2" t="s">
        <v>32</v>
      </c>
      <c r="H25" s="2" t="n">
        <v>62</v>
      </c>
      <c r="I25" s="2" t="n">
        <v>2.067</v>
      </c>
      <c r="J25" s="2" t="n">
        <v>120</v>
      </c>
      <c r="K25" s="2" t="n">
        <v>0.169</v>
      </c>
      <c r="L25" s="2" t="n">
        <v>27.4</v>
      </c>
      <c r="M25" s="2" t="s">
        <v>33</v>
      </c>
      <c r="N25" s="2" t="s">
        <v>34</v>
      </c>
    </row>
    <row r="26" customFormat="false" ht="15" hidden="false" customHeight="false" outlineLevel="0" collapsed="false">
      <c r="A26" s="2" t="s">
        <v>82</v>
      </c>
      <c r="B26" s="2" t="s">
        <v>83</v>
      </c>
      <c r="C26" s="2" t="s">
        <v>28</v>
      </c>
      <c r="D26" s="2" t="s">
        <v>29</v>
      </c>
      <c r="E26" s="2" t="s">
        <v>30</v>
      </c>
      <c r="F26" s="2" t="s">
        <v>31</v>
      </c>
      <c r="G26" s="2" t="s">
        <v>32</v>
      </c>
      <c r="H26" s="2" t="n">
        <v>62</v>
      </c>
      <c r="I26" s="2" t="n">
        <v>2.105</v>
      </c>
      <c r="J26" s="2" t="n">
        <v>120</v>
      </c>
      <c r="K26" s="2" t="n">
        <v>0.18</v>
      </c>
      <c r="L26" s="2" t="n">
        <v>28.1</v>
      </c>
      <c r="M26" s="2" t="s">
        <v>33</v>
      </c>
      <c r="N26" s="2" t="s">
        <v>34</v>
      </c>
    </row>
    <row r="27" customFormat="false" ht="15" hidden="false" customHeight="false" outlineLevel="0" collapsed="false">
      <c r="A27" s="2" t="s">
        <v>84</v>
      </c>
      <c r="B27" s="2" t="s">
        <v>85</v>
      </c>
      <c r="C27" s="2" t="s">
        <v>28</v>
      </c>
      <c r="D27" s="2" t="s">
        <v>29</v>
      </c>
      <c r="E27" s="2" t="s">
        <v>30</v>
      </c>
      <c r="F27" s="2" t="s">
        <v>31</v>
      </c>
      <c r="G27" s="2" t="s">
        <v>32</v>
      </c>
      <c r="H27" s="2" t="n">
        <v>62</v>
      </c>
      <c r="I27" s="2" t="n">
        <v>2.072</v>
      </c>
      <c r="J27" s="2" t="n">
        <v>120</v>
      </c>
      <c r="K27" s="2" t="n">
        <v>0.165</v>
      </c>
      <c r="L27" s="2" t="n">
        <v>28.2</v>
      </c>
      <c r="M27" s="2" t="s">
        <v>33</v>
      </c>
      <c r="N27" s="2" t="s">
        <v>34</v>
      </c>
    </row>
    <row r="28" customFormat="false" ht="15" hidden="false" customHeight="false" outlineLevel="0" collapsed="false">
      <c r="A28" s="2" t="s">
        <v>86</v>
      </c>
      <c r="B28" s="2" t="s">
        <v>87</v>
      </c>
      <c r="C28" s="2" t="s">
        <v>28</v>
      </c>
      <c r="D28" s="2" t="s">
        <v>29</v>
      </c>
      <c r="E28" s="2" t="s">
        <v>30</v>
      </c>
      <c r="F28" s="2" t="s">
        <v>31</v>
      </c>
      <c r="G28" s="2" t="s">
        <v>32</v>
      </c>
      <c r="H28" s="2" t="n">
        <v>62</v>
      </c>
      <c r="I28" s="2" t="n">
        <v>2.049</v>
      </c>
      <c r="J28" s="2" t="n">
        <v>120</v>
      </c>
      <c r="K28" s="2" t="n">
        <v>0.19</v>
      </c>
      <c r="L28" s="2" t="n">
        <v>27.8</v>
      </c>
      <c r="M28" s="2" t="s">
        <v>33</v>
      </c>
      <c r="N28" s="2" t="s">
        <v>34</v>
      </c>
    </row>
    <row r="29" customFormat="false" ht="15" hidden="false" customHeight="false" outlineLevel="0" collapsed="false">
      <c r="A29" s="2" t="s">
        <v>88</v>
      </c>
      <c r="B29" s="2" t="s">
        <v>89</v>
      </c>
      <c r="C29" s="2" t="s">
        <v>28</v>
      </c>
      <c r="D29" s="2" t="s">
        <v>29</v>
      </c>
      <c r="E29" s="2" t="s">
        <v>30</v>
      </c>
      <c r="F29" s="2" t="s">
        <v>31</v>
      </c>
      <c r="G29" s="2" t="s">
        <v>32</v>
      </c>
      <c r="H29" s="2" t="n">
        <v>62</v>
      </c>
      <c r="I29" s="2" t="n">
        <v>2.077</v>
      </c>
      <c r="J29" s="2" t="n">
        <v>120</v>
      </c>
      <c r="K29" s="2" t="n">
        <v>0.173</v>
      </c>
      <c r="L29" s="2" t="n">
        <v>27.2</v>
      </c>
      <c r="M29" s="2" t="s">
        <v>33</v>
      </c>
      <c r="N29" s="2" t="s">
        <v>34</v>
      </c>
    </row>
    <row r="30" customFormat="false" ht="15" hidden="false" customHeight="false" outlineLevel="0" collapsed="false">
      <c r="A30" s="2" t="s">
        <v>90</v>
      </c>
      <c r="B30" s="2" t="s">
        <v>91</v>
      </c>
      <c r="C30" s="2" t="s">
        <v>28</v>
      </c>
      <c r="D30" s="2" t="s">
        <v>29</v>
      </c>
      <c r="E30" s="2" t="s">
        <v>30</v>
      </c>
      <c r="F30" s="2" t="s">
        <v>31</v>
      </c>
      <c r="G30" s="2" t="s">
        <v>32</v>
      </c>
      <c r="H30" s="2" t="n">
        <v>62</v>
      </c>
      <c r="I30" s="2" t="n">
        <v>2.062</v>
      </c>
      <c r="J30" s="2" t="n">
        <v>120</v>
      </c>
      <c r="K30" s="2" t="n">
        <v>0.169</v>
      </c>
      <c r="L30" s="2" t="n">
        <v>28.3</v>
      </c>
      <c r="M30" s="2" t="s">
        <v>33</v>
      </c>
      <c r="N30" s="2" t="s">
        <v>34</v>
      </c>
    </row>
    <row r="31" customFormat="false" ht="15" hidden="false" customHeight="false" outlineLevel="0" collapsed="false">
      <c r="A31" s="2" t="s">
        <v>92</v>
      </c>
      <c r="B31" s="2" t="s">
        <v>93</v>
      </c>
      <c r="C31" s="2" t="s">
        <v>28</v>
      </c>
      <c r="D31" s="2" t="s">
        <v>29</v>
      </c>
      <c r="E31" s="2" t="s">
        <v>30</v>
      </c>
      <c r="F31" s="2" t="s">
        <v>31</v>
      </c>
      <c r="G31" s="2" t="s">
        <v>32</v>
      </c>
      <c r="H31" s="2" t="n">
        <v>62</v>
      </c>
      <c r="I31" s="2" t="n">
        <v>2.043</v>
      </c>
      <c r="J31" s="2" t="n">
        <v>120</v>
      </c>
      <c r="K31" s="2" t="n">
        <v>0.183</v>
      </c>
      <c r="L31" s="2" t="n">
        <v>28.8</v>
      </c>
      <c r="M31" s="2" t="s">
        <v>33</v>
      </c>
      <c r="N31" s="2" t="s">
        <v>34</v>
      </c>
    </row>
    <row r="32" customFormat="false" ht="15" hidden="false" customHeight="false" outlineLevel="0" collapsed="false">
      <c r="A32" s="2" t="s">
        <v>94</v>
      </c>
      <c r="B32" s="2" t="s">
        <v>95</v>
      </c>
      <c r="C32" s="2" t="s">
        <v>28</v>
      </c>
      <c r="D32" s="2" t="s">
        <v>47</v>
      </c>
      <c r="E32" s="2" t="s">
        <v>30</v>
      </c>
      <c r="F32" s="2" t="s">
        <v>31</v>
      </c>
      <c r="G32" s="2" t="s">
        <v>32</v>
      </c>
      <c r="H32" s="2" t="n">
        <v>62</v>
      </c>
      <c r="I32" s="2" t="n">
        <v>2.066</v>
      </c>
      <c r="J32" s="2" t="n">
        <v>120</v>
      </c>
      <c r="K32" s="2" t="n">
        <v>0.148</v>
      </c>
      <c r="L32" s="2" t="n">
        <v>27.8</v>
      </c>
      <c r="M32" s="2" t="s">
        <v>33</v>
      </c>
      <c r="N32" s="2" t="s">
        <v>34</v>
      </c>
    </row>
    <row r="33" customFormat="false" ht="15" hidden="false" customHeight="false" outlineLevel="0" collapsed="false">
      <c r="A33" s="2" t="s">
        <v>96</v>
      </c>
      <c r="B33" s="2" t="s">
        <v>97</v>
      </c>
      <c r="C33" s="2" t="s">
        <v>28</v>
      </c>
      <c r="D33" s="2" t="s">
        <v>47</v>
      </c>
      <c r="E33" s="2" t="s">
        <v>30</v>
      </c>
      <c r="F33" s="2" t="s">
        <v>31</v>
      </c>
      <c r="G33" s="2" t="s">
        <v>32</v>
      </c>
      <c r="H33" s="2" t="n">
        <v>62</v>
      </c>
      <c r="I33" s="2" t="n">
        <v>2.084</v>
      </c>
      <c r="J33" s="2" t="n">
        <v>120</v>
      </c>
      <c r="K33" s="2" t="n">
        <v>0.195</v>
      </c>
      <c r="L33" s="2" t="n">
        <v>29.1</v>
      </c>
      <c r="M33" s="2" t="s">
        <v>33</v>
      </c>
      <c r="N33" s="2" t="s">
        <v>34</v>
      </c>
    </row>
    <row r="34" customFormat="false" ht="15" hidden="false" customHeight="false" outlineLevel="0" collapsed="false">
      <c r="A34" s="2" t="s">
        <v>98</v>
      </c>
      <c r="B34" s="2" t="s">
        <v>99</v>
      </c>
      <c r="C34" s="2" t="s">
        <v>28</v>
      </c>
      <c r="D34" s="2" t="s">
        <v>47</v>
      </c>
      <c r="E34" s="2" t="s">
        <v>30</v>
      </c>
      <c r="F34" s="2" t="s">
        <v>31</v>
      </c>
      <c r="G34" s="2" t="s">
        <v>32</v>
      </c>
      <c r="H34" s="2" t="n">
        <v>62</v>
      </c>
      <c r="I34" s="2" t="n">
        <v>2.052</v>
      </c>
      <c r="J34" s="2" t="n">
        <v>120</v>
      </c>
      <c r="K34" s="2" t="n">
        <v>0.153</v>
      </c>
      <c r="L34" s="2" t="n">
        <v>30.2</v>
      </c>
      <c r="M34" s="2" t="s">
        <v>33</v>
      </c>
      <c r="N34" s="2" t="s">
        <v>34</v>
      </c>
    </row>
    <row r="35" customFormat="false" ht="15" hidden="false" customHeight="false" outlineLevel="0" collapsed="false">
      <c r="A35" s="2" t="s">
        <v>100</v>
      </c>
      <c r="B35" s="2" t="s">
        <v>101</v>
      </c>
      <c r="C35" s="2" t="s">
        <v>28</v>
      </c>
      <c r="D35" s="2" t="s">
        <v>47</v>
      </c>
      <c r="E35" s="2" t="s">
        <v>30</v>
      </c>
      <c r="F35" s="2" t="s">
        <v>31</v>
      </c>
      <c r="G35" s="2" t="s">
        <v>32</v>
      </c>
      <c r="H35" s="2" t="n">
        <v>62</v>
      </c>
      <c r="I35" s="2" t="n">
        <v>2.067</v>
      </c>
      <c r="J35" s="2" t="n">
        <v>120</v>
      </c>
      <c r="K35" s="2" t="n">
        <v>0.178</v>
      </c>
      <c r="L35" s="2" t="n">
        <v>29</v>
      </c>
      <c r="M35" s="2" t="s">
        <v>33</v>
      </c>
      <c r="N35" s="2" t="s">
        <v>34</v>
      </c>
    </row>
    <row r="36" customFormat="false" ht="15" hidden="false" customHeight="false" outlineLevel="0" collapsed="false">
      <c r="A36" s="2" t="s">
        <v>102</v>
      </c>
      <c r="B36" s="2" t="s">
        <v>103</v>
      </c>
      <c r="C36" s="2" t="s">
        <v>28</v>
      </c>
      <c r="D36" s="2" t="s">
        <v>47</v>
      </c>
      <c r="E36" s="2" t="s">
        <v>30</v>
      </c>
      <c r="F36" s="2" t="s">
        <v>31</v>
      </c>
      <c r="G36" s="2" t="s">
        <v>32</v>
      </c>
      <c r="H36" s="2" t="n">
        <v>62</v>
      </c>
      <c r="I36" s="2" t="n">
        <v>2.037</v>
      </c>
      <c r="J36" s="2" t="n">
        <v>120</v>
      </c>
      <c r="K36" s="2" t="n">
        <v>0.17</v>
      </c>
      <c r="L36" s="2" t="n">
        <v>27.1</v>
      </c>
      <c r="M36" s="2" t="s">
        <v>33</v>
      </c>
      <c r="N36" s="2" t="s">
        <v>34</v>
      </c>
    </row>
    <row r="37" customFormat="false" ht="15" hidden="false" customHeight="false" outlineLevel="0" collapsed="false">
      <c r="A37" s="2" t="s">
        <v>104</v>
      </c>
      <c r="B37" s="2" t="s">
        <v>105</v>
      </c>
      <c r="C37" s="2" t="s">
        <v>28</v>
      </c>
      <c r="D37" s="2" t="s">
        <v>47</v>
      </c>
      <c r="E37" s="2" t="s">
        <v>30</v>
      </c>
      <c r="F37" s="2" t="s">
        <v>31</v>
      </c>
      <c r="G37" s="2" t="s">
        <v>32</v>
      </c>
      <c r="H37" s="2" t="n">
        <v>62</v>
      </c>
      <c r="I37" s="2" t="n">
        <v>2.065</v>
      </c>
      <c r="J37" s="2" t="n">
        <v>120</v>
      </c>
      <c r="K37" s="2" t="n">
        <v>0.151</v>
      </c>
      <c r="L37" s="2" t="n">
        <v>30.1</v>
      </c>
      <c r="M37" s="2" t="s">
        <v>33</v>
      </c>
      <c r="N37" s="2" t="s">
        <v>34</v>
      </c>
    </row>
    <row r="38" customFormat="false" ht="15" hidden="false" customHeight="false" outlineLevel="0" collapsed="false">
      <c r="A38" s="2" t="s">
        <v>106</v>
      </c>
      <c r="B38" s="2" t="s">
        <v>107</v>
      </c>
      <c r="C38" s="2" t="s">
        <v>28</v>
      </c>
      <c r="D38" s="2" t="s">
        <v>29</v>
      </c>
      <c r="E38" s="2" t="s">
        <v>30</v>
      </c>
      <c r="F38" s="2" t="s">
        <v>31</v>
      </c>
      <c r="G38" s="2" t="s">
        <v>32</v>
      </c>
      <c r="H38" s="2" t="n">
        <v>62</v>
      </c>
      <c r="I38" s="2" t="n">
        <v>2.069</v>
      </c>
      <c r="J38" s="2" t="n">
        <v>120</v>
      </c>
      <c r="K38" s="2" t="n">
        <v>0.195</v>
      </c>
      <c r="L38" s="2" t="n">
        <v>28.3</v>
      </c>
      <c r="M38" s="2" t="s">
        <v>33</v>
      </c>
      <c r="N38" s="2" t="s">
        <v>34</v>
      </c>
    </row>
    <row r="39" customFormat="false" ht="15" hidden="false" customHeight="false" outlineLevel="0" collapsed="false">
      <c r="A39" s="2" t="s">
        <v>108</v>
      </c>
      <c r="B39" s="2" t="s">
        <v>109</v>
      </c>
      <c r="C39" s="2" t="s">
        <v>28</v>
      </c>
      <c r="D39" s="2" t="s">
        <v>29</v>
      </c>
      <c r="E39" s="2" t="s">
        <v>30</v>
      </c>
      <c r="F39" s="2" t="s">
        <v>31</v>
      </c>
      <c r="G39" s="2" t="s">
        <v>32</v>
      </c>
      <c r="H39" s="2" t="n">
        <v>62</v>
      </c>
      <c r="I39" s="2" t="n">
        <v>2.074</v>
      </c>
      <c r="J39" s="2" t="n">
        <v>120</v>
      </c>
      <c r="K39" s="2" t="n">
        <v>0.191</v>
      </c>
      <c r="L39" s="2" t="n">
        <v>28.4</v>
      </c>
      <c r="M39" s="2" t="s">
        <v>33</v>
      </c>
      <c r="N39" s="2" t="s">
        <v>34</v>
      </c>
    </row>
    <row r="40" customFormat="false" ht="15" hidden="false" customHeight="false" outlineLevel="0" collapsed="false">
      <c r="A40" s="2" t="s">
        <v>110</v>
      </c>
      <c r="B40" s="2" t="s">
        <v>111</v>
      </c>
      <c r="C40" s="2" t="s">
        <v>28</v>
      </c>
      <c r="D40" s="2" t="s">
        <v>29</v>
      </c>
      <c r="E40" s="2" t="s">
        <v>30</v>
      </c>
      <c r="F40" s="2" t="s">
        <v>31</v>
      </c>
      <c r="G40" s="2" t="s">
        <v>32</v>
      </c>
      <c r="H40" s="2" t="n">
        <v>62</v>
      </c>
      <c r="I40" s="2" t="n">
        <v>2.056</v>
      </c>
      <c r="J40" s="2" t="n">
        <v>120</v>
      </c>
      <c r="K40" s="2" t="n">
        <v>0.202</v>
      </c>
      <c r="L40" s="2" t="n">
        <v>29.4</v>
      </c>
      <c r="M40" s="2" t="s">
        <v>33</v>
      </c>
      <c r="N40" s="2" t="s">
        <v>34</v>
      </c>
    </row>
    <row r="41" customFormat="false" ht="15" hidden="false" customHeight="false" outlineLevel="0" collapsed="false">
      <c r="A41" s="2" t="s">
        <v>112</v>
      </c>
      <c r="B41" s="2" t="s">
        <v>113</v>
      </c>
      <c r="C41" s="2" t="s">
        <v>28</v>
      </c>
      <c r="D41" s="2" t="s">
        <v>29</v>
      </c>
      <c r="E41" s="2" t="s">
        <v>30</v>
      </c>
      <c r="F41" s="2" t="s">
        <v>31</v>
      </c>
      <c r="G41" s="2" t="s">
        <v>32</v>
      </c>
      <c r="H41" s="2" t="n">
        <v>62</v>
      </c>
      <c r="I41" s="2" t="n">
        <v>2.076</v>
      </c>
      <c r="J41" s="2" t="n">
        <v>120</v>
      </c>
      <c r="K41" s="2" t="n">
        <v>0.208</v>
      </c>
      <c r="L41" s="2" t="n">
        <v>30.1</v>
      </c>
      <c r="M41" s="2" t="s">
        <v>33</v>
      </c>
      <c r="N41" s="2" t="s">
        <v>34</v>
      </c>
    </row>
    <row r="42" customFormat="false" ht="15" hidden="false" customHeight="false" outlineLevel="0" collapsed="false">
      <c r="A42" s="2" t="s">
        <v>114</v>
      </c>
      <c r="B42" s="2" t="s">
        <v>115</v>
      </c>
      <c r="C42" s="2" t="s">
        <v>28</v>
      </c>
      <c r="D42" s="2" t="s">
        <v>29</v>
      </c>
      <c r="E42" s="2" t="s">
        <v>30</v>
      </c>
      <c r="F42" s="2" t="s">
        <v>31</v>
      </c>
      <c r="G42" s="2" t="s">
        <v>32</v>
      </c>
      <c r="H42" s="2" t="n">
        <v>62</v>
      </c>
      <c r="I42" s="2" t="n">
        <v>2.037</v>
      </c>
      <c r="J42" s="2" t="n">
        <v>120</v>
      </c>
      <c r="K42" s="2" t="n">
        <v>0.203</v>
      </c>
      <c r="L42" s="2" t="n">
        <v>27.2</v>
      </c>
      <c r="M42" s="2" t="s">
        <v>33</v>
      </c>
      <c r="N42" s="2" t="s">
        <v>34</v>
      </c>
    </row>
    <row r="43" customFormat="false" ht="15" hidden="false" customHeight="false" outlineLevel="0" collapsed="false">
      <c r="A43" s="2" t="s">
        <v>116</v>
      </c>
      <c r="B43" s="2" t="s">
        <v>117</v>
      </c>
      <c r="C43" s="2" t="s">
        <v>28</v>
      </c>
      <c r="D43" s="2" t="s">
        <v>29</v>
      </c>
      <c r="E43" s="2" t="s">
        <v>30</v>
      </c>
      <c r="F43" s="2" t="s">
        <v>31</v>
      </c>
      <c r="G43" s="2" t="s">
        <v>32</v>
      </c>
      <c r="H43" s="2" t="n">
        <v>62</v>
      </c>
      <c r="I43" s="2" t="n">
        <v>2.052</v>
      </c>
      <c r="J43" s="2" t="n">
        <v>120</v>
      </c>
      <c r="K43" s="2" t="n">
        <v>0.149</v>
      </c>
      <c r="L43" s="2" t="n">
        <v>27.8</v>
      </c>
      <c r="M43" s="2" t="s">
        <v>33</v>
      </c>
      <c r="N43" s="2" t="s">
        <v>34</v>
      </c>
    </row>
    <row r="44" customFormat="false" ht="15" hidden="false" customHeight="false" outlineLevel="0" collapsed="false">
      <c r="A44" s="2" t="s">
        <v>118</v>
      </c>
      <c r="B44" s="2" t="s">
        <v>119</v>
      </c>
      <c r="C44" s="2" t="s">
        <v>28</v>
      </c>
      <c r="D44" s="2" t="s">
        <v>47</v>
      </c>
      <c r="E44" s="2" t="s">
        <v>30</v>
      </c>
      <c r="F44" s="2" t="s">
        <v>31</v>
      </c>
      <c r="G44" s="2" t="s">
        <v>32</v>
      </c>
      <c r="H44" s="2" t="n">
        <v>62</v>
      </c>
      <c r="I44" s="2" t="n">
        <v>2.065</v>
      </c>
      <c r="J44" s="2" t="n">
        <v>120</v>
      </c>
      <c r="K44" s="2" t="n">
        <v>0.185</v>
      </c>
      <c r="L44" s="2" t="n">
        <v>28.4</v>
      </c>
      <c r="M44" s="2" t="s">
        <v>33</v>
      </c>
      <c r="N44" s="2" t="s">
        <v>34</v>
      </c>
    </row>
    <row r="45" customFormat="false" ht="15" hidden="false" customHeight="false" outlineLevel="0" collapsed="false">
      <c r="A45" s="2" t="s">
        <v>120</v>
      </c>
      <c r="B45" s="2" t="s">
        <v>121</v>
      </c>
      <c r="C45" s="2" t="s">
        <v>28</v>
      </c>
      <c r="D45" s="2" t="s">
        <v>47</v>
      </c>
      <c r="E45" s="2" t="s">
        <v>30</v>
      </c>
      <c r="F45" s="2" t="s">
        <v>31</v>
      </c>
      <c r="G45" s="2" t="s">
        <v>32</v>
      </c>
      <c r="H45" s="2" t="n">
        <v>62</v>
      </c>
      <c r="I45" s="2" t="n">
        <v>2.038</v>
      </c>
      <c r="J45" s="2" t="n">
        <v>120</v>
      </c>
      <c r="K45" s="2" t="n">
        <v>0.198</v>
      </c>
      <c r="L45" s="2" t="n">
        <v>29.3</v>
      </c>
      <c r="M45" s="2" t="s">
        <v>33</v>
      </c>
      <c r="N45" s="2" t="s">
        <v>34</v>
      </c>
    </row>
    <row r="46" customFormat="false" ht="15" hidden="false" customHeight="false" outlineLevel="0" collapsed="false">
      <c r="A46" s="2" t="s">
        <v>122</v>
      </c>
      <c r="B46" s="2" t="s">
        <v>123</v>
      </c>
      <c r="C46" s="2" t="s">
        <v>28</v>
      </c>
      <c r="D46" s="2" t="s">
        <v>47</v>
      </c>
      <c r="E46" s="2" t="s">
        <v>30</v>
      </c>
      <c r="F46" s="2" t="s">
        <v>31</v>
      </c>
      <c r="G46" s="2" t="s">
        <v>32</v>
      </c>
      <c r="H46" s="2" t="n">
        <v>62</v>
      </c>
      <c r="I46" s="2" t="n">
        <v>2.077</v>
      </c>
      <c r="J46" s="2" t="n">
        <v>120</v>
      </c>
      <c r="K46" s="2" t="n">
        <v>0.173</v>
      </c>
      <c r="L46" s="2" t="n">
        <v>27.5</v>
      </c>
      <c r="M46" s="2" t="s">
        <v>33</v>
      </c>
      <c r="N46" s="2" t="s">
        <v>34</v>
      </c>
    </row>
    <row r="47" customFormat="false" ht="15" hidden="false" customHeight="false" outlineLevel="0" collapsed="false">
      <c r="A47" s="2" t="s">
        <v>124</v>
      </c>
      <c r="B47" s="2" t="s">
        <v>125</v>
      </c>
      <c r="C47" s="2" t="s">
        <v>28</v>
      </c>
      <c r="D47" s="2" t="s">
        <v>47</v>
      </c>
      <c r="E47" s="2" t="s">
        <v>30</v>
      </c>
      <c r="F47" s="2" t="s">
        <v>31</v>
      </c>
      <c r="G47" s="2" t="s">
        <v>32</v>
      </c>
      <c r="H47" s="2" t="n">
        <v>62</v>
      </c>
      <c r="I47" s="2" t="n">
        <v>2.101</v>
      </c>
      <c r="J47" s="2" t="n">
        <v>120</v>
      </c>
      <c r="K47" s="2" t="n">
        <v>0.189</v>
      </c>
      <c r="L47" s="2" t="n">
        <v>26.1</v>
      </c>
      <c r="M47" s="2" t="s">
        <v>33</v>
      </c>
      <c r="N47" s="2" t="s">
        <v>34</v>
      </c>
    </row>
    <row r="48" customFormat="false" ht="15" hidden="false" customHeight="false" outlineLevel="0" collapsed="false">
      <c r="A48" s="2" t="s">
        <v>126</v>
      </c>
      <c r="B48" s="2" t="s">
        <v>127</v>
      </c>
      <c r="C48" s="2" t="s">
        <v>28</v>
      </c>
      <c r="D48" s="2" t="s">
        <v>47</v>
      </c>
      <c r="E48" s="2" t="s">
        <v>30</v>
      </c>
      <c r="F48" s="2" t="s">
        <v>31</v>
      </c>
      <c r="G48" s="2" t="s">
        <v>32</v>
      </c>
      <c r="H48" s="2" t="n">
        <v>62</v>
      </c>
      <c r="I48" s="2" t="n">
        <v>2.043</v>
      </c>
      <c r="J48" s="2" t="n">
        <v>120</v>
      </c>
      <c r="K48" s="2" t="n">
        <v>0.189</v>
      </c>
      <c r="L48" s="2" t="n">
        <v>27.7</v>
      </c>
      <c r="M48" s="2" t="s">
        <v>33</v>
      </c>
      <c r="N48" s="2" t="s">
        <v>34</v>
      </c>
    </row>
    <row r="49" customFormat="false" ht="15" hidden="false" customHeight="false" outlineLevel="0" collapsed="false">
      <c r="A49" s="2" t="s">
        <v>128</v>
      </c>
      <c r="B49" s="2" t="s">
        <v>129</v>
      </c>
      <c r="C49" s="2" t="s">
        <v>28</v>
      </c>
      <c r="D49" s="2" t="s">
        <v>47</v>
      </c>
      <c r="E49" s="2" t="s">
        <v>30</v>
      </c>
      <c r="F49" s="2" t="s">
        <v>31</v>
      </c>
      <c r="G49" s="2" t="s">
        <v>32</v>
      </c>
      <c r="H49" s="2" t="n">
        <v>62</v>
      </c>
      <c r="I49" s="2" t="n">
        <v>2.082</v>
      </c>
      <c r="J49" s="2" t="n">
        <v>120</v>
      </c>
      <c r="K49" s="2" t="n">
        <v>0.152</v>
      </c>
      <c r="L49" s="2" t="n">
        <v>28.3</v>
      </c>
      <c r="M49" s="2" t="s">
        <v>33</v>
      </c>
      <c r="N49" s="2" t="s">
        <v>34</v>
      </c>
    </row>
    <row r="50" customFormat="false" ht="15" hidden="false" customHeight="false" outlineLevel="0" collapsed="false">
      <c r="A50" s="2" t="s">
        <v>130</v>
      </c>
      <c r="B50" s="2" t="s">
        <v>131</v>
      </c>
      <c r="C50" s="2" t="s">
        <v>28</v>
      </c>
      <c r="D50" s="2" t="s">
        <v>29</v>
      </c>
      <c r="E50" s="2" t="s">
        <v>30</v>
      </c>
      <c r="F50" s="2" t="s">
        <v>31</v>
      </c>
      <c r="G50" s="2" t="s">
        <v>32</v>
      </c>
      <c r="H50" s="2" t="n">
        <v>62</v>
      </c>
      <c r="I50" s="2" t="n">
        <v>2.083</v>
      </c>
      <c r="J50" s="2" t="n">
        <v>120</v>
      </c>
      <c r="K50" s="2" t="n">
        <v>0.18</v>
      </c>
      <c r="L50" s="2" t="n">
        <v>27.8</v>
      </c>
      <c r="M50" s="2" t="s">
        <v>33</v>
      </c>
      <c r="N50" s="2" t="s">
        <v>34</v>
      </c>
    </row>
    <row r="51" customFormat="false" ht="15" hidden="false" customHeight="false" outlineLevel="0" collapsed="false">
      <c r="A51" s="2" t="s">
        <v>132</v>
      </c>
      <c r="B51" s="2" t="s">
        <v>133</v>
      </c>
      <c r="C51" s="2" t="s">
        <v>28</v>
      </c>
      <c r="D51" s="2" t="s">
        <v>29</v>
      </c>
      <c r="E51" s="2" t="s">
        <v>30</v>
      </c>
      <c r="F51" s="2" t="s">
        <v>31</v>
      </c>
      <c r="G51" s="2" t="s">
        <v>32</v>
      </c>
      <c r="H51" s="2" t="n">
        <v>62</v>
      </c>
      <c r="I51" s="2" t="n">
        <v>2.058</v>
      </c>
      <c r="J51" s="2" t="n">
        <v>120</v>
      </c>
      <c r="K51" s="2" t="n">
        <v>0.221</v>
      </c>
      <c r="L51" s="2" t="n">
        <v>26.2</v>
      </c>
      <c r="M51" s="2" t="s">
        <v>33</v>
      </c>
      <c r="N51" s="2" t="s">
        <v>34</v>
      </c>
    </row>
    <row r="52" customFormat="false" ht="15" hidden="false" customHeight="false" outlineLevel="0" collapsed="false">
      <c r="A52" s="2" t="s">
        <v>134</v>
      </c>
      <c r="B52" s="2" t="s">
        <v>135</v>
      </c>
      <c r="C52" s="2" t="s">
        <v>28</v>
      </c>
      <c r="D52" s="2" t="s">
        <v>29</v>
      </c>
      <c r="E52" s="2" t="s">
        <v>30</v>
      </c>
      <c r="F52" s="2" t="s">
        <v>31</v>
      </c>
      <c r="G52" s="2" t="s">
        <v>32</v>
      </c>
      <c r="H52" s="2" t="n">
        <v>62</v>
      </c>
      <c r="I52" s="2" t="n">
        <v>2.102</v>
      </c>
      <c r="J52" s="2" t="n">
        <v>120</v>
      </c>
      <c r="K52" s="2" t="n">
        <v>0.157</v>
      </c>
      <c r="L52" s="2" t="n">
        <v>28.5</v>
      </c>
      <c r="M52" s="2" t="s">
        <v>33</v>
      </c>
      <c r="N52" s="2" t="s">
        <v>34</v>
      </c>
    </row>
    <row r="53" customFormat="false" ht="15" hidden="false" customHeight="false" outlineLevel="0" collapsed="false">
      <c r="A53" s="2" t="s">
        <v>136</v>
      </c>
      <c r="B53" s="2" t="s">
        <v>137</v>
      </c>
      <c r="C53" s="2" t="s">
        <v>28</v>
      </c>
      <c r="D53" s="2" t="s">
        <v>29</v>
      </c>
      <c r="E53" s="2" t="s">
        <v>30</v>
      </c>
      <c r="F53" s="2" t="s">
        <v>31</v>
      </c>
      <c r="G53" s="2" t="s">
        <v>32</v>
      </c>
      <c r="H53" s="2" t="n">
        <v>62</v>
      </c>
      <c r="I53" s="2" t="n">
        <v>2.077</v>
      </c>
      <c r="J53" s="2" t="n">
        <v>120</v>
      </c>
      <c r="K53" s="2" t="n">
        <v>0.189</v>
      </c>
      <c r="L53" s="2" t="n">
        <v>28.6</v>
      </c>
      <c r="M53" s="2" t="s">
        <v>33</v>
      </c>
      <c r="N53" s="2" t="s">
        <v>34</v>
      </c>
    </row>
    <row r="54" customFormat="false" ht="15" hidden="false" customHeight="false" outlineLevel="0" collapsed="false">
      <c r="A54" s="2" t="s">
        <v>138</v>
      </c>
      <c r="B54" s="2" t="s">
        <v>139</v>
      </c>
      <c r="C54" s="2" t="s">
        <v>28</v>
      </c>
      <c r="D54" s="2" t="s">
        <v>29</v>
      </c>
      <c r="E54" s="2" t="s">
        <v>30</v>
      </c>
      <c r="F54" s="2" t="s">
        <v>31</v>
      </c>
      <c r="G54" s="2" t="s">
        <v>32</v>
      </c>
      <c r="H54" s="2" t="n">
        <v>62</v>
      </c>
      <c r="I54" s="2" t="n">
        <v>2.051</v>
      </c>
      <c r="J54" s="2" t="n">
        <v>120</v>
      </c>
      <c r="K54" s="2" t="n">
        <v>0.172</v>
      </c>
      <c r="L54" s="2" t="n">
        <v>29.1</v>
      </c>
      <c r="M54" s="2" t="s">
        <v>33</v>
      </c>
      <c r="N54" s="2" t="s">
        <v>34</v>
      </c>
    </row>
    <row r="55" customFormat="false" ht="15" hidden="false" customHeight="false" outlineLevel="0" collapsed="false">
      <c r="A55" s="2" t="s">
        <v>140</v>
      </c>
      <c r="B55" s="2" t="s">
        <v>141</v>
      </c>
      <c r="C55" s="2" t="s">
        <v>28</v>
      </c>
      <c r="D55" s="2" t="s">
        <v>29</v>
      </c>
      <c r="E55" s="2" t="s">
        <v>30</v>
      </c>
      <c r="F55" s="2" t="s">
        <v>31</v>
      </c>
      <c r="G55" s="2" t="s">
        <v>32</v>
      </c>
      <c r="H55" s="2" t="n">
        <v>62</v>
      </c>
      <c r="I55" s="2" t="n">
        <v>2.03</v>
      </c>
      <c r="J55" s="2" t="n">
        <v>120</v>
      </c>
      <c r="K55" s="2" t="n">
        <v>0.18</v>
      </c>
      <c r="L55" s="2" t="n">
        <v>28.5</v>
      </c>
      <c r="M55" s="2" t="s">
        <v>33</v>
      </c>
      <c r="N55" s="2" t="s">
        <v>34</v>
      </c>
    </row>
    <row r="56" customFormat="false" ht="15" hidden="false" customHeight="false" outlineLevel="0" collapsed="false">
      <c r="A56" s="2" t="s">
        <v>142</v>
      </c>
      <c r="B56" s="2" t="s">
        <v>143</v>
      </c>
      <c r="C56" s="2" t="s">
        <v>28</v>
      </c>
      <c r="D56" s="2" t="s">
        <v>47</v>
      </c>
      <c r="E56" s="2" t="s">
        <v>30</v>
      </c>
      <c r="F56" s="2" t="s">
        <v>31</v>
      </c>
      <c r="G56" s="2" t="s">
        <v>32</v>
      </c>
      <c r="H56" s="2" t="n">
        <v>62</v>
      </c>
      <c r="I56" s="2" t="n">
        <v>2.056</v>
      </c>
      <c r="J56" s="2" t="n">
        <v>120</v>
      </c>
      <c r="K56" s="2" t="n">
        <v>0.157</v>
      </c>
      <c r="L56" s="2" t="n">
        <v>27.9</v>
      </c>
      <c r="M56" s="2" t="s">
        <v>33</v>
      </c>
      <c r="N56" s="2" t="s">
        <v>34</v>
      </c>
    </row>
    <row r="57" customFormat="false" ht="15" hidden="false" customHeight="false" outlineLevel="0" collapsed="false">
      <c r="A57" s="2" t="s">
        <v>144</v>
      </c>
      <c r="B57" s="2" t="s">
        <v>145</v>
      </c>
      <c r="C57" s="2" t="s">
        <v>28</v>
      </c>
      <c r="D57" s="2" t="s">
        <v>47</v>
      </c>
      <c r="E57" s="2" t="s">
        <v>30</v>
      </c>
      <c r="F57" s="2" t="s">
        <v>31</v>
      </c>
      <c r="G57" s="2" t="s">
        <v>32</v>
      </c>
      <c r="H57" s="2" t="n">
        <v>62</v>
      </c>
      <c r="I57" s="2" t="n">
        <v>2.063</v>
      </c>
      <c r="J57" s="2" t="n">
        <v>120</v>
      </c>
      <c r="K57" s="2" t="n">
        <v>0.19</v>
      </c>
      <c r="L57" s="2" t="n">
        <v>28.9</v>
      </c>
      <c r="M57" s="2" t="s">
        <v>33</v>
      </c>
      <c r="N57" s="2" t="s">
        <v>34</v>
      </c>
    </row>
    <row r="58" customFormat="false" ht="15" hidden="false" customHeight="false" outlineLevel="0" collapsed="false">
      <c r="A58" s="2" t="s">
        <v>146</v>
      </c>
      <c r="B58" s="2" t="s">
        <v>147</v>
      </c>
      <c r="C58" s="2" t="s">
        <v>28</v>
      </c>
      <c r="D58" s="2" t="s">
        <v>47</v>
      </c>
      <c r="E58" s="2" t="s">
        <v>30</v>
      </c>
      <c r="F58" s="2" t="s">
        <v>31</v>
      </c>
      <c r="G58" s="2" t="s">
        <v>32</v>
      </c>
      <c r="H58" s="2" t="n">
        <v>62</v>
      </c>
      <c r="I58" s="2" t="n">
        <v>2.019</v>
      </c>
      <c r="J58" s="2" t="n">
        <v>120</v>
      </c>
      <c r="K58" s="2" t="n">
        <v>0.178</v>
      </c>
      <c r="L58" s="2" t="n">
        <v>26</v>
      </c>
      <c r="M58" s="2" t="s">
        <v>33</v>
      </c>
      <c r="N58" s="2" t="s">
        <v>34</v>
      </c>
    </row>
    <row r="59" customFormat="false" ht="15" hidden="false" customHeight="false" outlineLevel="0" collapsed="false">
      <c r="A59" s="2" t="s">
        <v>148</v>
      </c>
      <c r="B59" s="2" t="s">
        <v>149</v>
      </c>
      <c r="C59" s="2" t="s">
        <v>28</v>
      </c>
      <c r="D59" s="2" t="s">
        <v>47</v>
      </c>
      <c r="E59" s="2" t="s">
        <v>30</v>
      </c>
      <c r="F59" s="2" t="s">
        <v>31</v>
      </c>
      <c r="G59" s="2" t="s">
        <v>32</v>
      </c>
      <c r="H59" s="2" t="n">
        <v>62</v>
      </c>
      <c r="I59" s="2" t="n">
        <v>2.097</v>
      </c>
      <c r="J59" s="2" t="n">
        <v>120</v>
      </c>
      <c r="K59" s="2" t="n">
        <v>0.162</v>
      </c>
      <c r="L59" s="2" t="n">
        <v>28.9</v>
      </c>
      <c r="M59" s="2" t="s">
        <v>33</v>
      </c>
      <c r="N59" s="2" t="s">
        <v>34</v>
      </c>
    </row>
    <row r="60" customFormat="false" ht="15" hidden="false" customHeight="false" outlineLevel="0" collapsed="false">
      <c r="A60" s="2" t="s">
        <v>150</v>
      </c>
      <c r="B60" s="2" t="s">
        <v>151</v>
      </c>
      <c r="C60" s="2" t="s">
        <v>28</v>
      </c>
      <c r="D60" s="2" t="s">
        <v>47</v>
      </c>
      <c r="E60" s="2" t="s">
        <v>30</v>
      </c>
      <c r="F60" s="2" t="s">
        <v>31</v>
      </c>
      <c r="G60" s="2" t="s">
        <v>32</v>
      </c>
      <c r="H60" s="2" t="n">
        <v>62</v>
      </c>
      <c r="I60" s="2" t="n">
        <v>2.088</v>
      </c>
      <c r="J60" s="2" t="n">
        <v>120</v>
      </c>
      <c r="K60" s="2" t="n">
        <v>0.181</v>
      </c>
      <c r="L60" s="2" t="n">
        <v>29</v>
      </c>
      <c r="M60" s="2" t="s">
        <v>33</v>
      </c>
      <c r="N60" s="2" t="s">
        <v>34</v>
      </c>
    </row>
    <row r="61" customFormat="false" ht="15" hidden="false" customHeight="false" outlineLevel="0" collapsed="false">
      <c r="A61" s="2" t="s">
        <v>152</v>
      </c>
      <c r="B61" s="2" t="s">
        <v>153</v>
      </c>
      <c r="C61" s="2" t="s">
        <v>28</v>
      </c>
      <c r="D61" s="2" t="s">
        <v>47</v>
      </c>
      <c r="E61" s="2" t="s">
        <v>30</v>
      </c>
      <c r="F61" s="2" t="s">
        <v>31</v>
      </c>
      <c r="G61" s="2" t="s">
        <v>32</v>
      </c>
      <c r="H61" s="2" t="n">
        <v>62</v>
      </c>
      <c r="I61" s="2" t="n">
        <v>2.083</v>
      </c>
      <c r="J61" s="2" t="n">
        <v>120</v>
      </c>
      <c r="K61" s="2" t="n">
        <v>0.189</v>
      </c>
      <c r="L61" s="2" t="n">
        <v>28.5</v>
      </c>
      <c r="M61" s="2" t="s">
        <v>33</v>
      </c>
      <c r="N61" s="2" t="s">
        <v>34</v>
      </c>
    </row>
    <row r="62" customFormat="false" ht="15" hidden="false" customHeight="false" outlineLevel="0" collapsed="false">
      <c r="A62" s="2" t="s">
        <v>154</v>
      </c>
      <c r="B62" s="2" t="s">
        <v>155</v>
      </c>
      <c r="C62" s="2" t="s">
        <v>156</v>
      </c>
      <c r="D62" s="2" t="s">
        <v>29</v>
      </c>
      <c r="E62" s="2" t="s">
        <v>30</v>
      </c>
      <c r="F62" s="2" t="s">
        <v>31</v>
      </c>
      <c r="G62" s="2" t="s">
        <v>32</v>
      </c>
      <c r="H62" s="2" t="n">
        <v>62</v>
      </c>
      <c r="I62" s="2" t="n">
        <v>2.084</v>
      </c>
      <c r="J62" s="2" t="n">
        <v>120</v>
      </c>
      <c r="K62" s="2" t="n">
        <v>0.188</v>
      </c>
      <c r="L62" s="2" t="n">
        <v>29.1</v>
      </c>
      <c r="M62" s="2" t="s">
        <v>33</v>
      </c>
      <c r="N62" s="2" t="s">
        <v>34</v>
      </c>
    </row>
    <row r="63" customFormat="false" ht="15" hidden="false" customHeight="false" outlineLevel="0" collapsed="false">
      <c r="A63" s="2" t="s">
        <v>157</v>
      </c>
      <c r="B63" s="2" t="s">
        <v>158</v>
      </c>
      <c r="C63" s="2" t="s">
        <v>156</v>
      </c>
      <c r="D63" s="2" t="s">
        <v>29</v>
      </c>
      <c r="E63" s="2" t="s">
        <v>30</v>
      </c>
      <c r="F63" s="2" t="s">
        <v>31</v>
      </c>
      <c r="G63" s="2" t="s">
        <v>32</v>
      </c>
      <c r="H63" s="2" t="n">
        <v>62</v>
      </c>
      <c r="I63" s="2" t="n">
        <v>2.051</v>
      </c>
      <c r="J63" s="2" t="n">
        <v>120</v>
      </c>
      <c r="K63" s="2" t="n">
        <v>0.183</v>
      </c>
      <c r="L63" s="2" t="n">
        <v>29.2</v>
      </c>
      <c r="M63" s="2" t="s">
        <v>33</v>
      </c>
      <c r="N63" s="2" t="s">
        <v>34</v>
      </c>
    </row>
    <row r="64" customFormat="false" ht="15" hidden="false" customHeight="false" outlineLevel="0" collapsed="false">
      <c r="A64" s="2" t="s">
        <v>159</v>
      </c>
      <c r="B64" s="2" t="s">
        <v>160</v>
      </c>
      <c r="C64" s="2" t="s">
        <v>156</v>
      </c>
      <c r="D64" s="2" t="s">
        <v>29</v>
      </c>
      <c r="E64" s="2" t="s">
        <v>30</v>
      </c>
      <c r="F64" s="2" t="s">
        <v>31</v>
      </c>
      <c r="G64" s="2" t="s">
        <v>32</v>
      </c>
      <c r="H64" s="2" t="n">
        <v>62</v>
      </c>
      <c r="I64" s="2" t="n">
        <v>2.032</v>
      </c>
      <c r="J64" s="2" t="n">
        <v>120</v>
      </c>
      <c r="K64" s="2" t="n">
        <v>0.196</v>
      </c>
      <c r="L64" s="2" t="n">
        <v>28.3</v>
      </c>
      <c r="M64" s="2" t="s">
        <v>33</v>
      </c>
      <c r="N64" s="2" t="s">
        <v>34</v>
      </c>
    </row>
    <row r="65" customFormat="false" ht="15" hidden="false" customHeight="false" outlineLevel="0" collapsed="false">
      <c r="A65" s="2" t="s">
        <v>161</v>
      </c>
      <c r="B65" s="2" t="s">
        <v>162</v>
      </c>
      <c r="C65" s="2" t="s">
        <v>156</v>
      </c>
      <c r="D65" s="2" t="s">
        <v>29</v>
      </c>
      <c r="E65" s="2" t="s">
        <v>30</v>
      </c>
      <c r="F65" s="2" t="s">
        <v>31</v>
      </c>
      <c r="G65" s="2" t="s">
        <v>32</v>
      </c>
      <c r="H65" s="2" t="n">
        <v>62</v>
      </c>
      <c r="I65" s="2" t="n">
        <v>2.039</v>
      </c>
      <c r="J65" s="2" t="n">
        <v>120</v>
      </c>
      <c r="K65" s="2" t="n">
        <v>0.196</v>
      </c>
      <c r="L65" s="2" t="n">
        <v>27.5</v>
      </c>
      <c r="M65" s="2" t="s">
        <v>33</v>
      </c>
      <c r="N65" s="2" t="s">
        <v>34</v>
      </c>
    </row>
    <row r="66" customFormat="false" ht="15" hidden="false" customHeight="false" outlineLevel="0" collapsed="false">
      <c r="A66" s="2" t="s">
        <v>163</v>
      </c>
      <c r="B66" s="2" t="s">
        <v>164</v>
      </c>
      <c r="C66" s="2" t="s">
        <v>156</v>
      </c>
      <c r="D66" s="2" t="s">
        <v>29</v>
      </c>
      <c r="E66" s="2" t="s">
        <v>30</v>
      </c>
      <c r="F66" s="2" t="s">
        <v>31</v>
      </c>
      <c r="G66" s="2" t="s">
        <v>32</v>
      </c>
      <c r="H66" s="2" t="n">
        <v>62</v>
      </c>
      <c r="I66" s="2" t="n">
        <v>2.066</v>
      </c>
      <c r="J66" s="2" t="n">
        <v>120</v>
      </c>
      <c r="K66" s="2" t="n">
        <v>0.201</v>
      </c>
      <c r="L66" s="2" t="n">
        <v>29.3</v>
      </c>
      <c r="M66" s="2" t="s">
        <v>33</v>
      </c>
      <c r="N66" s="2" t="s">
        <v>34</v>
      </c>
    </row>
    <row r="67" customFormat="false" ht="15" hidden="false" customHeight="false" outlineLevel="0" collapsed="false">
      <c r="A67" s="2" t="s">
        <v>165</v>
      </c>
      <c r="B67" s="2" t="s">
        <v>166</v>
      </c>
      <c r="C67" s="2" t="s">
        <v>156</v>
      </c>
      <c r="D67" s="2" t="s">
        <v>29</v>
      </c>
      <c r="E67" s="2" t="s">
        <v>30</v>
      </c>
      <c r="F67" s="2" t="s">
        <v>31</v>
      </c>
      <c r="G67" s="2" t="s">
        <v>32</v>
      </c>
      <c r="H67" s="2" t="n">
        <v>62</v>
      </c>
      <c r="I67" s="2" t="n">
        <v>2.058</v>
      </c>
      <c r="J67" s="2" t="n">
        <v>120</v>
      </c>
      <c r="K67" s="2" t="n">
        <v>0.202</v>
      </c>
      <c r="L67" s="2" t="n">
        <v>26.2</v>
      </c>
      <c r="M67" s="2" t="s">
        <v>33</v>
      </c>
      <c r="N67" s="2" t="s">
        <v>34</v>
      </c>
    </row>
    <row r="68" customFormat="false" ht="15" hidden="false" customHeight="false" outlineLevel="0" collapsed="false">
      <c r="A68" s="2" t="s">
        <v>167</v>
      </c>
      <c r="B68" s="2" t="s">
        <v>168</v>
      </c>
      <c r="C68" s="2" t="s">
        <v>156</v>
      </c>
      <c r="D68" s="2" t="s">
        <v>47</v>
      </c>
      <c r="E68" s="2" t="s">
        <v>30</v>
      </c>
      <c r="F68" s="2" t="s">
        <v>31</v>
      </c>
      <c r="G68" s="2" t="s">
        <v>32</v>
      </c>
      <c r="H68" s="2" t="n">
        <v>62</v>
      </c>
      <c r="I68" s="2" t="n">
        <v>2.077</v>
      </c>
      <c r="J68" s="2" t="n">
        <v>120</v>
      </c>
      <c r="K68" s="2" t="n">
        <v>0.177</v>
      </c>
      <c r="L68" s="2" t="n">
        <v>29.9</v>
      </c>
      <c r="M68" s="2" t="s">
        <v>33</v>
      </c>
      <c r="N68" s="2" t="s">
        <v>34</v>
      </c>
    </row>
    <row r="69" customFormat="false" ht="23.85" hidden="false" customHeight="false" outlineLevel="0" collapsed="false">
      <c r="A69" s="2" t="s">
        <v>169</v>
      </c>
      <c r="B69" s="2" t="s">
        <v>170</v>
      </c>
      <c r="C69" s="2" t="s">
        <v>156</v>
      </c>
      <c r="D69" s="2" t="s">
        <v>47</v>
      </c>
      <c r="E69" s="2" t="s">
        <v>30</v>
      </c>
      <c r="F69" s="2" t="s">
        <v>31</v>
      </c>
      <c r="G69" s="2" t="s">
        <v>32</v>
      </c>
      <c r="H69" s="2" t="n">
        <v>62</v>
      </c>
      <c r="I69" s="2"/>
      <c r="J69" s="2" t="n">
        <v>120</v>
      </c>
      <c r="K69" s="2" t="n">
        <v>0.155</v>
      </c>
      <c r="L69" s="2" t="n">
        <v>27</v>
      </c>
      <c r="M69" s="2" t="s">
        <v>171</v>
      </c>
      <c r="N69" s="2" t="s">
        <v>34</v>
      </c>
    </row>
    <row r="70" customFormat="false" ht="15" hidden="false" customHeight="false" outlineLevel="0" collapsed="false">
      <c r="A70" s="2" t="s">
        <v>172</v>
      </c>
      <c r="B70" s="2" t="s">
        <v>173</v>
      </c>
      <c r="C70" s="2" t="s">
        <v>156</v>
      </c>
      <c r="D70" s="2" t="s">
        <v>47</v>
      </c>
      <c r="E70" s="2" t="s">
        <v>30</v>
      </c>
      <c r="F70" s="2" t="s">
        <v>31</v>
      </c>
      <c r="G70" s="2" t="s">
        <v>32</v>
      </c>
      <c r="H70" s="2" t="n">
        <v>62</v>
      </c>
      <c r="I70" s="2" t="n">
        <v>2.05</v>
      </c>
      <c r="J70" s="2" t="n">
        <v>120</v>
      </c>
      <c r="K70" s="2" t="n">
        <v>0.189</v>
      </c>
      <c r="L70" s="2" t="n">
        <v>27.7</v>
      </c>
      <c r="M70" s="2" t="s">
        <v>33</v>
      </c>
      <c r="N70" s="2" t="s">
        <v>34</v>
      </c>
    </row>
    <row r="71" customFormat="false" ht="15" hidden="false" customHeight="false" outlineLevel="0" collapsed="false">
      <c r="A71" s="2" t="s">
        <v>174</v>
      </c>
      <c r="B71" s="2" t="s">
        <v>175</v>
      </c>
      <c r="C71" s="2" t="s">
        <v>156</v>
      </c>
      <c r="D71" s="2" t="s">
        <v>47</v>
      </c>
      <c r="E71" s="2" t="s">
        <v>30</v>
      </c>
      <c r="F71" s="2" t="s">
        <v>31</v>
      </c>
      <c r="G71" s="2" t="s">
        <v>32</v>
      </c>
      <c r="H71" s="2" t="n">
        <v>62</v>
      </c>
      <c r="I71" s="2" t="n">
        <v>2.032</v>
      </c>
      <c r="J71" s="2" t="n">
        <v>120</v>
      </c>
      <c r="K71" s="2" t="n">
        <v>0.163</v>
      </c>
      <c r="L71" s="2" t="n">
        <v>27.4</v>
      </c>
      <c r="M71" s="2" t="s">
        <v>33</v>
      </c>
      <c r="N71" s="2" t="s">
        <v>34</v>
      </c>
    </row>
    <row r="72" customFormat="false" ht="15" hidden="false" customHeight="false" outlineLevel="0" collapsed="false">
      <c r="A72" s="2" t="s">
        <v>176</v>
      </c>
      <c r="B72" s="2" t="s">
        <v>177</v>
      </c>
      <c r="C72" s="2" t="s">
        <v>156</v>
      </c>
      <c r="D72" s="2" t="s">
        <v>47</v>
      </c>
      <c r="E72" s="2" t="s">
        <v>30</v>
      </c>
      <c r="F72" s="2" t="s">
        <v>31</v>
      </c>
      <c r="G72" s="2" t="s">
        <v>32</v>
      </c>
      <c r="H72" s="2" t="n">
        <v>62</v>
      </c>
      <c r="I72" s="2" t="n">
        <v>2.104</v>
      </c>
      <c r="J72" s="2" t="n">
        <v>120</v>
      </c>
      <c r="K72" s="2" t="n">
        <v>0.188</v>
      </c>
      <c r="L72" s="2" t="n">
        <v>28.1</v>
      </c>
      <c r="M72" s="2" t="s">
        <v>33</v>
      </c>
      <c r="N72" s="2" t="s">
        <v>34</v>
      </c>
    </row>
    <row r="73" customFormat="false" ht="15" hidden="false" customHeight="false" outlineLevel="0" collapsed="false">
      <c r="A73" s="2" t="s">
        <v>178</v>
      </c>
      <c r="B73" s="2" t="s">
        <v>179</v>
      </c>
      <c r="C73" s="2" t="s">
        <v>156</v>
      </c>
      <c r="D73" s="2" t="s">
        <v>47</v>
      </c>
      <c r="E73" s="2" t="s">
        <v>30</v>
      </c>
      <c r="F73" s="2" t="s">
        <v>31</v>
      </c>
      <c r="G73" s="2" t="s">
        <v>32</v>
      </c>
      <c r="H73" s="2" t="n">
        <v>62</v>
      </c>
      <c r="I73" s="2" t="n">
        <v>2.07</v>
      </c>
      <c r="J73" s="2" t="n">
        <v>120</v>
      </c>
      <c r="K73" s="2" t="n">
        <v>0.21</v>
      </c>
      <c r="L73" s="2" t="n">
        <v>27.9</v>
      </c>
      <c r="M73" s="2" t="s">
        <v>33</v>
      </c>
      <c r="N73" s="2" t="s">
        <v>34</v>
      </c>
    </row>
    <row r="74" customFormat="false" ht="15" hidden="false" customHeight="false" outlineLevel="0" collapsed="false">
      <c r="A74" s="2" t="s">
        <v>180</v>
      </c>
      <c r="B74" s="2" t="s">
        <v>181</v>
      </c>
      <c r="C74" s="2" t="s">
        <v>156</v>
      </c>
      <c r="D74" s="2" t="s">
        <v>29</v>
      </c>
      <c r="E74" s="2" t="s">
        <v>30</v>
      </c>
      <c r="F74" s="2" t="s">
        <v>31</v>
      </c>
      <c r="G74" s="2" t="s">
        <v>32</v>
      </c>
      <c r="H74" s="2" t="n">
        <v>62</v>
      </c>
      <c r="I74" s="2" t="n">
        <v>1.929</v>
      </c>
      <c r="J74" s="2" t="n">
        <v>120</v>
      </c>
      <c r="K74" s="2" t="n">
        <v>0.434</v>
      </c>
      <c r="L74" s="2" t="n">
        <v>27.6</v>
      </c>
      <c r="M74" s="2" t="s">
        <v>33</v>
      </c>
      <c r="N74" s="2" t="s">
        <v>34</v>
      </c>
    </row>
    <row r="75" customFormat="false" ht="15" hidden="false" customHeight="false" outlineLevel="0" collapsed="false">
      <c r="A75" s="2" t="s">
        <v>182</v>
      </c>
      <c r="B75" s="2" t="s">
        <v>183</v>
      </c>
      <c r="C75" s="2" t="s">
        <v>156</v>
      </c>
      <c r="D75" s="2" t="s">
        <v>29</v>
      </c>
      <c r="E75" s="2" t="s">
        <v>30</v>
      </c>
      <c r="F75" s="2" t="s">
        <v>31</v>
      </c>
      <c r="G75" s="2" t="s">
        <v>32</v>
      </c>
      <c r="H75" s="2" t="n">
        <v>62</v>
      </c>
      <c r="I75" s="2" t="n">
        <v>1.97</v>
      </c>
      <c r="J75" s="2" t="n">
        <v>120</v>
      </c>
      <c r="K75" s="2" t="n">
        <v>0.389</v>
      </c>
      <c r="L75" s="2" t="n">
        <v>28.9</v>
      </c>
      <c r="M75" s="2" t="s">
        <v>33</v>
      </c>
      <c r="N75" s="2" t="s">
        <v>34</v>
      </c>
    </row>
    <row r="76" customFormat="false" ht="15" hidden="false" customHeight="false" outlineLevel="0" collapsed="false">
      <c r="A76" s="2" t="s">
        <v>184</v>
      </c>
      <c r="B76" s="2" t="s">
        <v>185</v>
      </c>
      <c r="C76" s="2" t="s">
        <v>156</v>
      </c>
      <c r="D76" s="2" t="s">
        <v>29</v>
      </c>
      <c r="E76" s="2" t="s">
        <v>30</v>
      </c>
      <c r="F76" s="2" t="s">
        <v>31</v>
      </c>
      <c r="G76" s="2" t="s">
        <v>32</v>
      </c>
      <c r="H76" s="2" t="n">
        <v>62</v>
      </c>
      <c r="I76" s="2" t="n">
        <v>1.915</v>
      </c>
      <c r="J76" s="2" t="n">
        <v>120</v>
      </c>
      <c r="K76" s="2" t="n">
        <v>0.417</v>
      </c>
      <c r="L76" s="2" t="n">
        <v>26.4</v>
      </c>
      <c r="M76" s="2" t="s">
        <v>33</v>
      </c>
      <c r="N76" s="2" t="s">
        <v>34</v>
      </c>
    </row>
    <row r="77" customFormat="false" ht="15" hidden="false" customHeight="false" outlineLevel="0" collapsed="false">
      <c r="A77" s="2" t="s">
        <v>186</v>
      </c>
      <c r="B77" s="2" t="s">
        <v>187</v>
      </c>
      <c r="C77" s="2" t="s">
        <v>156</v>
      </c>
      <c r="D77" s="2" t="s">
        <v>29</v>
      </c>
      <c r="E77" s="2" t="s">
        <v>30</v>
      </c>
      <c r="F77" s="2" t="s">
        <v>31</v>
      </c>
      <c r="G77" s="2" t="s">
        <v>32</v>
      </c>
      <c r="H77" s="2" t="n">
        <v>62</v>
      </c>
      <c r="I77" s="2" t="n">
        <v>1.927</v>
      </c>
      <c r="J77" s="2" t="n">
        <v>120</v>
      </c>
      <c r="K77" s="2" t="n">
        <v>0.398</v>
      </c>
      <c r="L77" s="2" t="n">
        <v>27.9</v>
      </c>
      <c r="M77" s="2" t="s">
        <v>33</v>
      </c>
      <c r="N77" s="2" t="s">
        <v>34</v>
      </c>
    </row>
    <row r="78" customFormat="false" ht="15" hidden="false" customHeight="false" outlineLevel="0" collapsed="false">
      <c r="A78" s="2" t="s">
        <v>188</v>
      </c>
      <c r="B78" s="2" t="s">
        <v>189</v>
      </c>
      <c r="C78" s="2" t="s">
        <v>156</v>
      </c>
      <c r="D78" s="2" t="s">
        <v>29</v>
      </c>
      <c r="E78" s="2" t="s">
        <v>30</v>
      </c>
      <c r="F78" s="2" t="s">
        <v>31</v>
      </c>
      <c r="G78" s="2" t="s">
        <v>32</v>
      </c>
      <c r="H78" s="2" t="n">
        <v>62</v>
      </c>
      <c r="I78" s="2" t="n">
        <v>1.907</v>
      </c>
      <c r="J78" s="2" t="n">
        <v>120</v>
      </c>
      <c r="K78" s="2" t="n">
        <v>0.425</v>
      </c>
      <c r="L78" s="2" t="n">
        <v>26.6</v>
      </c>
      <c r="M78" s="2" t="s">
        <v>33</v>
      </c>
      <c r="N78" s="2" t="s">
        <v>34</v>
      </c>
    </row>
    <row r="79" customFormat="false" ht="15" hidden="false" customHeight="false" outlineLevel="0" collapsed="false">
      <c r="A79" s="2" t="s">
        <v>190</v>
      </c>
      <c r="B79" s="2" t="s">
        <v>191</v>
      </c>
      <c r="C79" s="2" t="s">
        <v>156</v>
      </c>
      <c r="D79" s="2" t="s">
        <v>29</v>
      </c>
      <c r="E79" s="2" t="s">
        <v>30</v>
      </c>
      <c r="F79" s="2" t="s">
        <v>31</v>
      </c>
      <c r="G79" s="2" t="s">
        <v>32</v>
      </c>
      <c r="H79" s="2" t="n">
        <v>62</v>
      </c>
      <c r="I79" s="2" t="n">
        <v>1.977</v>
      </c>
      <c r="J79" s="2" t="n">
        <v>120</v>
      </c>
      <c r="K79" s="2" t="n">
        <v>0.431</v>
      </c>
      <c r="L79" s="2" t="n">
        <v>28</v>
      </c>
      <c r="M79" s="2" t="s">
        <v>33</v>
      </c>
      <c r="N79" s="2" t="s">
        <v>34</v>
      </c>
    </row>
    <row r="80" customFormat="false" ht="15" hidden="false" customHeight="false" outlineLevel="0" collapsed="false">
      <c r="A80" s="2" t="s">
        <v>192</v>
      </c>
      <c r="B80" s="2" t="s">
        <v>193</v>
      </c>
      <c r="C80" s="2" t="s">
        <v>156</v>
      </c>
      <c r="D80" s="2" t="s">
        <v>47</v>
      </c>
      <c r="E80" s="2" t="s">
        <v>30</v>
      </c>
      <c r="F80" s="2" t="s">
        <v>31</v>
      </c>
      <c r="G80" s="2" t="s">
        <v>32</v>
      </c>
      <c r="H80" s="2" t="n">
        <v>62</v>
      </c>
      <c r="I80" s="2" t="n">
        <v>1.936</v>
      </c>
      <c r="J80" s="2" t="n">
        <v>120</v>
      </c>
      <c r="K80" s="2" t="n">
        <v>0.431</v>
      </c>
      <c r="L80" s="2" t="n">
        <v>27.5</v>
      </c>
      <c r="M80" s="2" t="s">
        <v>33</v>
      </c>
      <c r="N80" s="2" t="s">
        <v>34</v>
      </c>
    </row>
    <row r="81" customFormat="false" ht="15" hidden="false" customHeight="false" outlineLevel="0" collapsed="false">
      <c r="A81" s="2" t="s">
        <v>194</v>
      </c>
      <c r="B81" s="2" t="s">
        <v>195</v>
      </c>
      <c r="C81" s="2" t="s">
        <v>156</v>
      </c>
      <c r="D81" s="2" t="s">
        <v>47</v>
      </c>
      <c r="E81" s="2" t="s">
        <v>30</v>
      </c>
      <c r="F81" s="2" t="s">
        <v>31</v>
      </c>
      <c r="G81" s="2" t="s">
        <v>32</v>
      </c>
      <c r="H81" s="2" t="n">
        <v>62</v>
      </c>
      <c r="I81" s="2" t="n">
        <v>1.904</v>
      </c>
      <c r="J81" s="2" t="n">
        <v>120</v>
      </c>
      <c r="K81" s="2" t="n">
        <v>0.422</v>
      </c>
      <c r="L81" s="2" t="n">
        <v>29.5</v>
      </c>
      <c r="M81" s="2" t="s">
        <v>33</v>
      </c>
      <c r="N81" s="2" t="s">
        <v>34</v>
      </c>
    </row>
    <row r="82" customFormat="false" ht="15" hidden="false" customHeight="false" outlineLevel="0" collapsed="false">
      <c r="A82" s="2" t="s">
        <v>196</v>
      </c>
      <c r="B82" s="2" t="s">
        <v>197</v>
      </c>
      <c r="C82" s="2" t="s">
        <v>156</v>
      </c>
      <c r="D82" s="2" t="s">
        <v>47</v>
      </c>
      <c r="E82" s="2" t="s">
        <v>30</v>
      </c>
      <c r="F82" s="2" t="s">
        <v>31</v>
      </c>
      <c r="G82" s="2" t="s">
        <v>32</v>
      </c>
      <c r="H82" s="2" t="n">
        <v>62</v>
      </c>
      <c r="I82" s="2" t="n">
        <v>1.942</v>
      </c>
      <c r="J82" s="2" t="n">
        <v>120</v>
      </c>
      <c r="K82" s="2" t="n">
        <v>0.427</v>
      </c>
      <c r="L82" s="2" t="n">
        <v>27.6</v>
      </c>
      <c r="M82" s="2" t="s">
        <v>33</v>
      </c>
      <c r="N82" s="2" t="s">
        <v>34</v>
      </c>
    </row>
    <row r="83" customFormat="false" ht="15" hidden="false" customHeight="false" outlineLevel="0" collapsed="false">
      <c r="A83" s="2" t="s">
        <v>198</v>
      </c>
      <c r="B83" s="2" t="s">
        <v>199</v>
      </c>
      <c r="C83" s="2" t="s">
        <v>156</v>
      </c>
      <c r="D83" s="2" t="s">
        <v>47</v>
      </c>
      <c r="E83" s="2" t="s">
        <v>30</v>
      </c>
      <c r="F83" s="2" t="s">
        <v>31</v>
      </c>
      <c r="G83" s="2" t="s">
        <v>32</v>
      </c>
      <c r="H83" s="2" t="n">
        <v>62</v>
      </c>
      <c r="I83" s="2" t="n">
        <v>1.937</v>
      </c>
      <c r="J83" s="2" t="n">
        <v>120</v>
      </c>
      <c r="K83" s="2" t="n">
        <v>0.424</v>
      </c>
      <c r="L83" s="2" t="n">
        <v>28.4</v>
      </c>
      <c r="M83" s="2" t="s">
        <v>33</v>
      </c>
      <c r="N83" s="2" t="s">
        <v>34</v>
      </c>
    </row>
    <row r="84" customFormat="false" ht="23.85" hidden="false" customHeight="false" outlineLevel="0" collapsed="false">
      <c r="A84" s="2" t="s">
        <v>200</v>
      </c>
      <c r="B84" s="2" t="s">
        <v>201</v>
      </c>
      <c r="C84" s="2" t="s">
        <v>156</v>
      </c>
      <c r="D84" s="2" t="s">
        <v>47</v>
      </c>
      <c r="E84" s="2" t="s">
        <v>30</v>
      </c>
      <c r="F84" s="2" t="s">
        <v>31</v>
      </c>
      <c r="G84" s="2" t="s">
        <v>32</v>
      </c>
      <c r="H84" s="2" t="n">
        <v>62</v>
      </c>
      <c r="I84" s="2" t="n">
        <v>1.948</v>
      </c>
      <c r="J84" s="2" t="n">
        <v>110</v>
      </c>
      <c r="K84" s="2" t="n">
        <v>0.41</v>
      </c>
      <c r="L84" s="2" t="n">
        <v>28</v>
      </c>
      <c r="M84" s="2" t="s">
        <v>202</v>
      </c>
      <c r="N84" s="2" t="s">
        <v>34</v>
      </c>
    </row>
    <row r="85" customFormat="false" ht="15" hidden="false" customHeight="false" outlineLevel="0" collapsed="false">
      <c r="A85" s="2" t="s">
        <v>203</v>
      </c>
      <c r="B85" s="2" t="s">
        <v>204</v>
      </c>
      <c r="C85" s="2" t="s">
        <v>156</v>
      </c>
      <c r="D85" s="2" t="s">
        <v>47</v>
      </c>
      <c r="E85" s="2" t="s">
        <v>30</v>
      </c>
      <c r="F85" s="2" t="s">
        <v>31</v>
      </c>
      <c r="G85" s="2" t="s">
        <v>32</v>
      </c>
      <c r="H85" s="2" t="n">
        <v>62</v>
      </c>
      <c r="I85" s="2" t="n">
        <v>1.929</v>
      </c>
      <c r="J85" s="2" t="n">
        <v>120</v>
      </c>
      <c r="K85" s="2" t="n">
        <v>0.427</v>
      </c>
      <c r="L85" s="2" t="n">
        <v>29</v>
      </c>
      <c r="M85" s="2" t="s">
        <v>33</v>
      </c>
      <c r="N85" s="2" t="s">
        <v>34</v>
      </c>
    </row>
    <row r="86" customFormat="false" ht="15" hidden="false" customHeight="false" outlineLevel="0" collapsed="false">
      <c r="A86" s="2" t="s">
        <v>205</v>
      </c>
      <c r="B86" s="2" t="s">
        <v>206</v>
      </c>
      <c r="C86" s="2" t="s">
        <v>156</v>
      </c>
      <c r="D86" s="2" t="s">
        <v>29</v>
      </c>
      <c r="E86" s="2" t="s">
        <v>30</v>
      </c>
      <c r="F86" s="2" t="s">
        <v>31</v>
      </c>
      <c r="G86" s="2" t="s">
        <v>32</v>
      </c>
      <c r="H86" s="2" t="n">
        <v>62</v>
      </c>
      <c r="I86" s="2" t="n">
        <v>1.943</v>
      </c>
      <c r="J86" s="2" t="n">
        <v>120</v>
      </c>
      <c r="K86" s="2" t="n">
        <v>0.404</v>
      </c>
      <c r="L86" s="2" t="n">
        <v>28.5</v>
      </c>
      <c r="M86" s="2" t="s">
        <v>33</v>
      </c>
      <c r="N86" s="2" t="s">
        <v>34</v>
      </c>
    </row>
    <row r="87" customFormat="false" ht="15" hidden="false" customHeight="false" outlineLevel="0" collapsed="false">
      <c r="A87" s="2" t="s">
        <v>207</v>
      </c>
      <c r="B87" s="2" t="s">
        <v>208</v>
      </c>
      <c r="C87" s="2" t="s">
        <v>156</v>
      </c>
      <c r="D87" s="2" t="s">
        <v>29</v>
      </c>
      <c r="E87" s="2" t="s">
        <v>30</v>
      </c>
      <c r="F87" s="2" t="s">
        <v>31</v>
      </c>
      <c r="G87" s="2" t="s">
        <v>32</v>
      </c>
      <c r="H87" s="2" t="n">
        <v>62</v>
      </c>
      <c r="I87" s="2" t="n">
        <v>1.873</v>
      </c>
      <c r="J87" s="2" t="n">
        <v>120</v>
      </c>
      <c r="K87" s="2" t="n">
        <v>0.426</v>
      </c>
      <c r="L87" s="2" t="n">
        <v>29</v>
      </c>
      <c r="M87" s="2" t="s">
        <v>33</v>
      </c>
      <c r="N87" s="2" t="s">
        <v>34</v>
      </c>
    </row>
    <row r="88" customFormat="false" ht="15" hidden="false" customHeight="false" outlineLevel="0" collapsed="false">
      <c r="A88" s="2" t="s">
        <v>209</v>
      </c>
      <c r="B88" s="2" t="s">
        <v>210</v>
      </c>
      <c r="C88" s="2" t="s">
        <v>156</v>
      </c>
      <c r="D88" s="2" t="s">
        <v>29</v>
      </c>
      <c r="E88" s="2" t="s">
        <v>30</v>
      </c>
      <c r="F88" s="2" t="s">
        <v>31</v>
      </c>
      <c r="G88" s="2" t="s">
        <v>32</v>
      </c>
      <c r="H88" s="2" t="n">
        <v>62</v>
      </c>
      <c r="I88" s="2" t="n">
        <v>1.921</v>
      </c>
      <c r="J88" s="2" t="n">
        <v>120</v>
      </c>
      <c r="K88" s="2" t="n">
        <v>0.406</v>
      </c>
      <c r="L88" s="2" t="n">
        <v>29.8</v>
      </c>
      <c r="M88" s="2" t="s">
        <v>33</v>
      </c>
      <c r="N88" s="2" t="s">
        <v>34</v>
      </c>
    </row>
    <row r="89" customFormat="false" ht="15" hidden="false" customHeight="false" outlineLevel="0" collapsed="false">
      <c r="A89" s="2" t="s">
        <v>211</v>
      </c>
      <c r="B89" s="2" t="s">
        <v>212</v>
      </c>
      <c r="C89" s="2" t="s">
        <v>156</v>
      </c>
      <c r="D89" s="2" t="s">
        <v>29</v>
      </c>
      <c r="E89" s="2" t="s">
        <v>30</v>
      </c>
      <c r="F89" s="2" t="s">
        <v>31</v>
      </c>
      <c r="G89" s="2" t="s">
        <v>32</v>
      </c>
      <c r="H89" s="2" t="n">
        <v>62</v>
      </c>
      <c r="I89" s="2" t="n">
        <v>1.937</v>
      </c>
      <c r="J89" s="2" t="n">
        <v>120</v>
      </c>
      <c r="K89" s="2" t="n">
        <v>0.44</v>
      </c>
      <c r="L89" s="2" t="n">
        <v>27.7</v>
      </c>
      <c r="M89" s="2" t="s">
        <v>33</v>
      </c>
      <c r="N89" s="2" t="s">
        <v>34</v>
      </c>
    </row>
    <row r="90" customFormat="false" ht="15" hidden="false" customHeight="false" outlineLevel="0" collapsed="false">
      <c r="A90" s="2" t="s">
        <v>211</v>
      </c>
      <c r="B90" s="2" t="s">
        <v>212</v>
      </c>
      <c r="C90" s="2" t="s">
        <v>156</v>
      </c>
      <c r="D90" s="2" t="s">
        <v>29</v>
      </c>
      <c r="E90" s="2" t="s">
        <v>30</v>
      </c>
      <c r="F90" s="2" t="s">
        <v>31</v>
      </c>
      <c r="G90" s="2" t="s">
        <v>32</v>
      </c>
      <c r="H90" s="2" t="n">
        <v>62</v>
      </c>
      <c r="I90" s="2" t="n">
        <v>1.937</v>
      </c>
      <c r="J90" s="2" t="n">
        <v>120</v>
      </c>
      <c r="K90" s="2" t="n">
        <v>0.44</v>
      </c>
      <c r="L90" s="2" t="n">
        <v>27.7</v>
      </c>
      <c r="M90" s="2" t="s">
        <v>33</v>
      </c>
      <c r="N90" s="2" t="s">
        <v>34</v>
      </c>
    </row>
    <row r="91" customFormat="false" ht="15" hidden="false" customHeight="false" outlineLevel="0" collapsed="false">
      <c r="A91" s="2" t="s">
        <v>213</v>
      </c>
      <c r="B91" s="2" t="s">
        <v>214</v>
      </c>
      <c r="C91" s="2" t="s">
        <v>156</v>
      </c>
      <c r="D91" s="2" t="s">
        <v>29</v>
      </c>
      <c r="E91" s="2" t="s">
        <v>30</v>
      </c>
      <c r="F91" s="2" t="s">
        <v>31</v>
      </c>
      <c r="G91" s="2" t="s">
        <v>32</v>
      </c>
      <c r="H91" s="2" t="n">
        <v>62</v>
      </c>
      <c r="I91" s="2" t="n">
        <v>1.93</v>
      </c>
      <c r="J91" s="2" t="n">
        <v>120</v>
      </c>
      <c r="K91" s="2" t="n">
        <v>0.452</v>
      </c>
      <c r="L91" s="2" t="n">
        <v>30.1</v>
      </c>
      <c r="M91" s="2" t="s">
        <v>33</v>
      </c>
      <c r="N91" s="2" t="s">
        <v>34</v>
      </c>
    </row>
    <row r="92" customFormat="false" ht="15" hidden="false" customHeight="false" outlineLevel="0" collapsed="false">
      <c r="A92" s="2" t="s">
        <v>215</v>
      </c>
      <c r="B92" s="2" t="s">
        <v>216</v>
      </c>
      <c r="C92" s="2" t="s">
        <v>156</v>
      </c>
      <c r="D92" s="2" t="s">
        <v>29</v>
      </c>
      <c r="E92" s="2" t="s">
        <v>30</v>
      </c>
      <c r="F92" s="2" t="s">
        <v>31</v>
      </c>
      <c r="G92" s="2" t="s">
        <v>32</v>
      </c>
      <c r="H92" s="2" t="n">
        <v>62</v>
      </c>
      <c r="I92" s="2" t="n">
        <v>1.936</v>
      </c>
      <c r="J92" s="2" t="n">
        <v>120</v>
      </c>
      <c r="K92" s="2" t="n">
        <v>0.429</v>
      </c>
      <c r="L92" s="2" t="n">
        <v>27.6</v>
      </c>
      <c r="M92" s="2" t="s">
        <v>33</v>
      </c>
      <c r="N92" s="2" t="s">
        <v>34</v>
      </c>
    </row>
    <row r="93" customFormat="false" ht="15" hidden="false" customHeight="false" outlineLevel="0" collapsed="false">
      <c r="A93" s="2" t="s">
        <v>217</v>
      </c>
      <c r="B93" s="2" t="s">
        <v>218</v>
      </c>
      <c r="C93" s="2" t="s">
        <v>219</v>
      </c>
      <c r="D93" s="2" t="s">
        <v>47</v>
      </c>
      <c r="E93" s="2" t="s">
        <v>30</v>
      </c>
      <c r="F93" s="2" t="s">
        <v>31</v>
      </c>
      <c r="G93" s="2" t="s">
        <v>32</v>
      </c>
      <c r="H93" s="2" t="n">
        <v>62</v>
      </c>
      <c r="I93" s="2" t="n">
        <v>2.079</v>
      </c>
      <c r="J93" s="2" t="n">
        <v>120</v>
      </c>
      <c r="K93" s="2" t="n">
        <v>0.109</v>
      </c>
      <c r="L93" s="2" t="n">
        <v>28.2</v>
      </c>
      <c r="M93" s="2" t="s">
        <v>33</v>
      </c>
      <c r="N93" s="2" t="s">
        <v>34</v>
      </c>
    </row>
    <row r="94" customFormat="false" ht="15" hidden="false" customHeight="false" outlineLevel="0" collapsed="false">
      <c r="A94" s="2" t="s">
        <v>220</v>
      </c>
      <c r="B94" s="2" t="s">
        <v>221</v>
      </c>
      <c r="C94" s="2" t="s">
        <v>219</v>
      </c>
      <c r="D94" s="2" t="s">
        <v>47</v>
      </c>
      <c r="E94" s="2" t="s">
        <v>30</v>
      </c>
      <c r="F94" s="2" t="s">
        <v>31</v>
      </c>
      <c r="G94" s="2" t="s">
        <v>32</v>
      </c>
      <c r="H94" s="2" t="n">
        <v>62</v>
      </c>
      <c r="I94" s="2" t="n">
        <v>2.049</v>
      </c>
      <c r="J94" s="2" t="n">
        <v>120</v>
      </c>
      <c r="K94" s="2" t="n">
        <v>0.162</v>
      </c>
      <c r="L94" s="2" t="n">
        <v>27.9</v>
      </c>
      <c r="M94" s="2" t="s">
        <v>33</v>
      </c>
      <c r="N94" s="2" t="s">
        <v>34</v>
      </c>
    </row>
    <row r="95" customFormat="false" ht="15" hidden="false" customHeight="false" outlineLevel="0" collapsed="false">
      <c r="A95" s="2" t="s">
        <v>222</v>
      </c>
      <c r="B95" s="2" t="s">
        <v>223</v>
      </c>
      <c r="C95" s="2" t="s">
        <v>219</v>
      </c>
      <c r="D95" s="2" t="s">
        <v>47</v>
      </c>
      <c r="E95" s="2" t="s">
        <v>30</v>
      </c>
      <c r="F95" s="2" t="s">
        <v>31</v>
      </c>
      <c r="G95" s="2" t="s">
        <v>32</v>
      </c>
      <c r="H95" s="2" t="n">
        <v>62</v>
      </c>
      <c r="I95" s="2" t="n">
        <v>2.075</v>
      </c>
      <c r="J95" s="2" t="n">
        <v>120</v>
      </c>
      <c r="K95" s="2" t="n">
        <v>0.141</v>
      </c>
      <c r="L95" s="2" t="n">
        <v>26.6</v>
      </c>
      <c r="M95" s="2" t="s">
        <v>33</v>
      </c>
      <c r="N95" s="2" t="s">
        <v>34</v>
      </c>
    </row>
    <row r="96" customFormat="false" ht="15" hidden="false" customHeight="false" outlineLevel="0" collapsed="false">
      <c r="A96" s="2" t="s">
        <v>224</v>
      </c>
      <c r="B96" s="2" t="s">
        <v>225</v>
      </c>
      <c r="C96" s="2" t="s">
        <v>219</v>
      </c>
      <c r="D96" s="2" t="s">
        <v>47</v>
      </c>
      <c r="E96" s="2" t="s">
        <v>30</v>
      </c>
      <c r="F96" s="2" t="s">
        <v>31</v>
      </c>
      <c r="G96" s="2" t="s">
        <v>32</v>
      </c>
      <c r="H96" s="2" t="n">
        <v>62</v>
      </c>
      <c r="I96" s="2" t="n">
        <v>2.062</v>
      </c>
      <c r="J96" s="2" t="n">
        <v>120</v>
      </c>
      <c r="K96" s="2" t="n">
        <v>0.185</v>
      </c>
      <c r="L96" s="2" t="n">
        <v>28.3</v>
      </c>
      <c r="M96" s="2" t="s">
        <v>33</v>
      </c>
      <c r="N96" s="2" t="s">
        <v>34</v>
      </c>
    </row>
    <row r="97" customFormat="false" ht="15" hidden="false" customHeight="false" outlineLevel="0" collapsed="false">
      <c r="A97" s="2" t="s">
        <v>226</v>
      </c>
      <c r="B97" s="2" t="s">
        <v>227</v>
      </c>
      <c r="C97" s="2" t="s">
        <v>219</v>
      </c>
      <c r="D97" s="2" t="s">
        <v>47</v>
      </c>
      <c r="E97" s="2" t="s">
        <v>30</v>
      </c>
      <c r="F97" s="2" t="s">
        <v>31</v>
      </c>
      <c r="G97" s="2" t="s">
        <v>32</v>
      </c>
      <c r="H97" s="2" t="n">
        <v>62</v>
      </c>
      <c r="I97" s="2" t="n">
        <v>2.048</v>
      </c>
      <c r="J97" s="2" t="n">
        <v>120</v>
      </c>
      <c r="K97" s="2" t="n">
        <v>0.146</v>
      </c>
      <c r="L97" s="2" t="n">
        <v>27.3</v>
      </c>
      <c r="M97" s="2" t="s">
        <v>33</v>
      </c>
      <c r="N97" s="2" t="s">
        <v>34</v>
      </c>
    </row>
    <row r="98" customFormat="false" ht="15" hidden="false" customHeight="false" outlineLevel="0" collapsed="false">
      <c r="A98" s="2" t="s">
        <v>228</v>
      </c>
      <c r="B98" s="2" t="s">
        <v>229</v>
      </c>
      <c r="C98" s="2" t="s">
        <v>219</v>
      </c>
      <c r="D98" s="2" t="s">
        <v>47</v>
      </c>
      <c r="E98" s="2" t="s">
        <v>30</v>
      </c>
      <c r="F98" s="2" t="s">
        <v>31</v>
      </c>
      <c r="G98" s="2" t="s">
        <v>32</v>
      </c>
      <c r="H98" s="2" t="n">
        <v>62</v>
      </c>
      <c r="I98" s="2" t="n">
        <v>2.046</v>
      </c>
      <c r="J98" s="2" t="n">
        <v>120</v>
      </c>
      <c r="K98" s="2" t="n">
        <v>0.138</v>
      </c>
      <c r="L98" s="2" t="n">
        <v>27.7</v>
      </c>
      <c r="M98" s="2" t="s">
        <v>33</v>
      </c>
      <c r="N98" s="2" t="s">
        <v>34</v>
      </c>
    </row>
    <row r="99" customFormat="false" ht="15" hidden="false" customHeight="false" outlineLevel="0" collapsed="false">
      <c r="A99" s="2" t="s">
        <v>230</v>
      </c>
      <c r="B99" s="2" t="s">
        <v>231</v>
      </c>
      <c r="C99" s="2" t="s">
        <v>219</v>
      </c>
      <c r="D99" s="2" t="s">
        <v>29</v>
      </c>
      <c r="E99" s="2" t="s">
        <v>30</v>
      </c>
      <c r="F99" s="2" t="s">
        <v>31</v>
      </c>
      <c r="G99" s="2" t="s">
        <v>32</v>
      </c>
      <c r="H99" s="2" t="n">
        <v>62</v>
      </c>
      <c r="I99" s="2" t="n">
        <v>2.067</v>
      </c>
      <c r="J99" s="2" t="n">
        <v>120</v>
      </c>
      <c r="K99" s="2" t="n">
        <v>0.121</v>
      </c>
      <c r="L99" s="2" t="n">
        <v>26.5</v>
      </c>
      <c r="M99" s="2" t="s">
        <v>33</v>
      </c>
      <c r="N99" s="2" t="s">
        <v>34</v>
      </c>
    </row>
    <row r="100" customFormat="false" ht="15" hidden="false" customHeight="false" outlineLevel="0" collapsed="false">
      <c r="A100" s="2" t="s">
        <v>232</v>
      </c>
      <c r="B100" s="2" t="s">
        <v>233</v>
      </c>
      <c r="C100" s="2" t="s">
        <v>219</v>
      </c>
      <c r="D100" s="2" t="s">
        <v>29</v>
      </c>
      <c r="E100" s="2" t="s">
        <v>30</v>
      </c>
      <c r="F100" s="2" t="s">
        <v>31</v>
      </c>
      <c r="G100" s="2" t="s">
        <v>32</v>
      </c>
      <c r="H100" s="2" t="n">
        <v>62</v>
      </c>
      <c r="I100" s="2" t="n">
        <v>2.035</v>
      </c>
      <c r="J100" s="2" t="n">
        <v>120</v>
      </c>
      <c r="K100" s="2" t="n">
        <v>0.175</v>
      </c>
      <c r="L100" s="2" t="n">
        <v>28.5</v>
      </c>
      <c r="M100" s="2" t="s">
        <v>33</v>
      </c>
      <c r="N100" s="2" t="s">
        <v>34</v>
      </c>
    </row>
    <row r="101" customFormat="false" ht="15" hidden="false" customHeight="false" outlineLevel="0" collapsed="false">
      <c r="A101" s="2" t="s">
        <v>234</v>
      </c>
      <c r="B101" s="2" t="s">
        <v>235</v>
      </c>
      <c r="C101" s="2" t="s">
        <v>219</v>
      </c>
      <c r="D101" s="2" t="s">
        <v>29</v>
      </c>
      <c r="E101" s="2" t="s">
        <v>30</v>
      </c>
      <c r="F101" s="2" t="s">
        <v>31</v>
      </c>
      <c r="G101" s="2" t="s">
        <v>32</v>
      </c>
      <c r="H101" s="2" t="n">
        <v>62</v>
      </c>
      <c r="I101" s="2" t="n">
        <v>2.071</v>
      </c>
      <c r="J101" s="2" t="n">
        <v>120</v>
      </c>
      <c r="K101" s="2" t="n">
        <v>0.175</v>
      </c>
      <c r="L101" s="2" t="n">
        <v>28.4</v>
      </c>
      <c r="M101" s="2" t="s">
        <v>33</v>
      </c>
      <c r="N101" s="2" t="s">
        <v>34</v>
      </c>
    </row>
    <row r="102" customFormat="false" ht="15" hidden="false" customHeight="false" outlineLevel="0" collapsed="false">
      <c r="A102" s="2" t="s">
        <v>236</v>
      </c>
      <c r="B102" s="2" t="s">
        <v>237</v>
      </c>
      <c r="C102" s="2" t="s">
        <v>219</v>
      </c>
      <c r="D102" s="2" t="s">
        <v>29</v>
      </c>
      <c r="E102" s="2" t="s">
        <v>30</v>
      </c>
      <c r="F102" s="2" t="s">
        <v>31</v>
      </c>
      <c r="G102" s="2" t="s">
        <v>32</v>
      </c>
      <c r="H102" s="2" t="n">
        <v>62</v>
      </c>
      <c r="I102" s="2" t="n">
        <v>2.068</v>
      </c>
      <c r="J102" s="2" t="n">
        <v>120</v>
      </c>
      <c r="K102" s="2" t="n">
        <v>0.157</v>
      </c>
      <c r="L102" s="2" t="n">
        <v>29.3</v>
      </c>
      <c r="M102" s="2" t="s">
        <v>33</v>
      </c>
      <c r="N102" s="2" t="s">
        <v>34</v>
      </c>
    </row>
    <row r="103" customFormat="false" ht="15" hidden="false" customHeight="false" outlineLevel="0" collapsed="false">
      <c r="A103" s="2" t="s">
        <v>238</v>
      </c>
      <c r="B103" s="2" t="s">
        <v>239</v>
      </c>
      <c r="C103" s="2" t="s">
        <v>219</v>
      </c>
      <c r="D103" s="2" t="s">
        <v>29</v>
      </c>
      <c r="E103" s="2" t="s">
        <v>30</v>
      </c>
      <c r="F103" s="2" t="s">
        <v>31</v>
      </c>
      <c r="G103" s="2" t="s">
        <v>32</v>
      </c>
      <c r="H103" s="2" t="n">
        <v>62</v>
      </c>
      <c r="I103" s="2" t="n">
        <v>2.056</v>
      </c>
      <c r="J103" s="2" t="n">
        <v>120</v>
      </c>
      <c r="K103" s="2" t="n">
        <v>0.133</v>
      </c>
      <c r="L103" s="2" t="n">
        <v>26.7</v>
      </c>
      <c r="M103" s="2" t="s">
        <v>33</v>
      </c>
      <c r="N103" s="2" t="s">
        <v>34</v>
      </c>
    </row>
    <row r="104" customFormat="false" ht="15" hidden="false" customHeight="false" outlineLevel="0" collapsed="false">
      <c r="A104" s="2" t="s">
        <v>240</v>
      </c>
      <c r="B104" s="2" t="s">
        <v>241</v>
      </c>
      <c r="C104" s="2" t="s">
        <v>219</v>
      </c>
      <c r="D104" s="2" t="s">
        <v>29</v>
      </c>
      <c r="E104" s="2" t="s">
        <v>30</v>
      </c>
      <c r="F104" s="2" t="s">
        <v>31</v>
      </c>
      <c r="G104" s="2" t="s">
        <v>32</v>
      </c>
      <c r="H104" s="2" t="n">
        <v>62</v>
      </c>
      <c r="I104" s="2" t="n">
        <v>2.068</v>
      </c>
      <c r="J104" s="2" t="n">
        <v>120</v>
      </c>
      <c r="K104" s="2" t="n">
        <v>0.186</v>
      </c>
      <c r="L104" s="2" t="n">
        <v>29.4</v>
      </c>
      <c r="M104" s="2" t="s">
        <v>33</v>
      </c>
      <c r="N104" s="2" t="s">
        <v>34</v>
      </c>
    </row>
    <row r="105" customFormat="false" ht="15" hidden="false" customHeight="false" outlineLevel="0" collapsed="false">
      <c r="A105" s="2" t="s">
        <v>242</v>
      </c>
      <c r="B105" s="2" t="s">
        <v>243</v>
      </c>
      <c r="C105" s="2" t="s">
        <v>219</v>
      </c>
      <c r="D105" s="2" t="s">
        <v>47</v>
      </c>
      <c r="E105" s="2" t="s">
        <v>30</v>
      </c>
      <c r="F105" s="2" t="s">
        <v>31</v>
      </c>
      <c r="G105" s="2" t="s">
        <v>32</v>
      </c>
      <c r="H105" s="2" t="n">
        <v>62</v>
      </c>
      <c r="I105" s="2" t="n">
        <v>2.073</v>
      </c>
      <c r="J105" s="2" t="n">
        <v>120</v>
      </c>
      <c r="K105" s="2" t="n">
        <v>0.122</v>
      </c>
      <c r="L105" s="2" t="n">
        <v>26.8</v>
      </c>
      <c r="M105" s="2" t="s">
        <v>33</v>
      </c>
      <c r="N105" s="2" t="s">
        <v>34</v>
      </c>
    </row>
    <row r="106" customFormat="false" ht="15" hidden="false" customHeight="false" outlineLevel="0" collapsed="false">
      <c r="A106" s="2" t="s">
        <v>244</v>
      </c>
      <c r="B106" s="2" t="s">
        <v>245</v>
      </c>
      <c r="C106" s="2" t="s">
        <v>219</v>
      </c>
      <c r="D106" s="2" t="s">
        <v>47</v>
      </c>
      <c r="E106" s="2" t="s">
        <v>30</v>
      </c>
      <c r="F106" s="2" t="s">
        <v>31</v>
      </c>
      <c r="G106" s="2" t="s">
        <v>32</v>
      </c>
      <c r="H106" s="2" t="n">
        <v>62</v>
      </c>
      <c r="I106" s="2" t="n">
        <v>2.101</v>
      </c>
      <c r="J106" s="2" t="n">
        <v>120</v>
      </c>
      <c r="K106" s="2" t="n">
        <v>0.13</v>
      </c>
      <c r="L106" s="2" t="n">
        <v>27.2</v>
      </c>
      <c r="M106" s="2" t="s">
        <v>33</v>
      </c>
      <c r="N106" s="2" t="s">
        <v>34</v>
      </c>
    </row>
    <row r="107" customFormat="false" ht="15" hidden="false" customHeight="false" outlineLevel="0" collapsed="false">
      <c r="A107" s="2" t="s">
        <v>246</v>
      </c>
      <c r="B107" s="2" t="s">
        <v>247</v>
      </c>
      <c r="C107" s="2" t="s">
        <v>219</v>
      </c>
      <c r="D107" s="2" t="s">
        <v>47</v>
      </c>
      <c r="E107" s="2" t="s">
        <v>30</v>
      </c>
      <c r="F107" s="2" t="s">
        <v>31</v>
      </c>
      <c r="G107" s="2" t="s">
        <v>32</v>
      </c>
      <c r="H107" s="2" t="n">
        <v>62</v>
      </c>
      <c r="I107" s="2" t="n">
        <v>2.032</v>
      </c>
      <c r="J107" s="2" t="n">
        <v>120</v>
      </c>
      <c r="K107" s="2" t="n">
        <v>0.177</v>
      </c>
      <c r="L107" s="2" t="n">
        <v>28.9</v>
      </c>
      <c r="M107" s="2" t="s">
        <v>33</v>
      </c>
      <c r="N107" s="2" t="s">
        <v>34</v>
      </c>
    </row>
    <row r="108" customFormat="false" ht="15" hidden="false" customHeight="false" outlineLevel="0" collapsed="false">
      <c r="A108" s="2" t="s">
        <v>248</v>
      </c>
      <c r="B108" s="2" t="s">
        <v>249</v>
      </c>
      <c r="C108" s="2" t="s">
        <v>219</v>
      </c>
      <c r="D108" s="2" t="s">
        <v>47</v>
      </c>
      <c r="E108" s="2" t="s">
        <v>30</v>
      </c>
      <c r="F108" s="2" t="s">
        <v>31</v>
      </c>
      <c r="G108" s="2" t="s">
        <v>32</v>
      </c>
      <c r="H108" s="2" t="n">
        <v>62</v>
      </c>
      <c r="I108" s="2" t="n">
        <v>2.059</v>
      </c>
      <c r="J108" s="2" t="n">
        <v>120</v>
      </c>
      <c r="K108" s="2" t="n">
        <v>0.184</v>
      </c>
      <c r="L108" s="2" t="n">
        <v>27.8</v>
      </c>
      <c r="M108" s="2" t="s">
        <v>33</v>
      </c>
      <c r="N108" s="2" t="s">
        <v>34</v>
      </c>
    </row>
    <row r="109" customFormat="false" ht="15" hidden="false" customHeight="false" outlineLevel="0" collapsed="false">
      <c r="A109" s="2" t="s">
        <v>250</v>
      </c>
      <c r="B109" s="2" t="s">
        <v>251</v>
      </c>
      <c r="C109" s="2" t="s">
        <v>219</v>
      </c>
      <c r="D109" s="2" t="s">
        <v>47</v>
      </c>
      <c r="E109" s="2" t="s">
        <v>30</v>
      </c>
      <c r="F109" s="2" t="s">
        <v>31</v>
      </c>
      <c r="G109" s="2" t="s">
        <v>32</v>
      </c>
      <c r="H109" s="2" t="n">
        <v>62</v>
      </c>
      <c r="I109" s="2" t="n">
        <v>2.04</v>
      </c>
      <c r="J109" s="2" t="n">
        <v>120</v>
      </c>
      <c r="K109" s="2" t="n">
        <v>0.14</v>
      </c>
      <c r="L109" s="2" t="n">
        <v>27.1</v>
      </c>
      <c r="M109" s="2" t="s">
        <v>33</v>
      </c>
      <c r="N109" s="2" t="s">
        <v>34</v>
      </c>
    </row>
    <row r="110" customFormat="false" ht="15" hidden="false" customHeight="false" outlineLevel="0" collapsed="false">
      <c r="A110" s="2" t="s">
        <v>252</v>
      </c>
      <c r="B110" s="2" t="s">
        <v>253</v>
      </c>
      <c r="C110" s="2" t="s">
        <v>219</v>
      </c>
      <c r="D110" s="2" t="s">
        <v>47</v>
      </c>
      <c r="E110" s="2" t="s">
        <v>30</v>
      </c>
      <c r="F110" s="2" t="s">
        <v>31</v>
      </c>
      <c r="G110" s="2" t="s">
        <v>32</v>
      </c>
      <c r="H110" s="2" t="n">
        <v>62</v>
      </c>
      <c r="I110" s="2" t="n">
        <v>2.051</v>
      </c>
      <c r="J110" s="2" t="n">
        <v>120</v>
      </c>
      <c r="K110" s="2" t="n">
        <v>0.158</v>
      </c>
      <c r="L110" s="2" t="n">
        <v>27.7</v>
      </c>
      <c r="M110" s="2" t="s">
        <v>33</v>
      </c>
      <c r="N110" s="2" t="s">
        <v>34</v>
      </c>
    </row>
    <row r="111" customFormat="false" ht="15" hidden="false" customHeight="false" outlineLevel="0" collapsed="false">
      <c r="A111" s="2" t="s">
        <v>254</v>
      </c>
      <c r="B111" s="2" t="s">
        <v>255</v>
      </c>
      <c r="C111" s="2" t="s">
        <v>219</v>
      </c>
      <c r="D111" s="2" t="s">
        <v>29</v>
      </c>
      <c r="E111" s="2" t="s">
        <v>30</v>
      </c>
      <c r="F111" s="2" t="s">
        <v>31</v>
      </c>
      <c r="G111" s="2" t="s">
        <v>32</v>
      </c>
      <c r="H111" s="2" t="n">
        <v>62</v>
      </c>
      <c r="I111" s="2" t="n">
        <v>2.081</v>
      </c>
      <c r="J111" s="2" t="n">
        <v>120</v>
      </c>
      <c r="K111" s="2" t="n">
        <v>0.17</v>
      </c>
      <c r="L111" s="2" t="n">
        <v>29</v>
      </c>
      <c r="M111" s="2" t="s">
        <v>33</v>
      </c>
      <c r="N111" s="2" t="s">
        <v>34</v>
      </c>
    </row>
    <row r="112" customFormat="false" ht="15" hidden="false" customHeight="false" outlineLevel="0" collapsed="false">
      <c r="A112" s="2" t="s">
        <v>256</v>
      </c>
      <c r="B112" s="2" t="s">
        <v>257</v>
      </c>
      <c r="C112" s="2" t="s">
        <v>219</v>
      </c>
      <c r="D112" s="2" t="s">
        <v>29</v>
      </c>
      <c r="E112" s="2" t="s">
        <v>30</v>
      </c>
      <c r="F112" s="2" t="s">
        <v>31</v>
      </c>
      <c r="G112" s="2" t="s">
        <v>32</v>
      </c>
      <c r="H112" s="2" t="n">
        <v>62</v>
      </c>
      <c r="I112" s="2" t="n">
        <v>2.084</v>
      </c>
      <c r="J112" s="2" t="n">
        <v>120</v>
      </c>
      <c r="K112" s="2" t="n">
        <v>0.192</v>
      </c>
      <c r="L112" s="2" t="n">
        <v>27.6</v>
      </c>
      <c r="M112" s="2" t="s">
        <v>33</v>
      </c>
      <c r="N112" s="2" t="s">
        <v>34</v>
      </c>
    </row>
    <row r="113" customFormat="false" ht="15" hidden="false" customHeight="false" outlineLevel="0" collapsed="false">
      <c r="A113" s="2" t="s">
        <v>258</v>
      </c>
      <c r="B113" s="2" t="s">
        <v>259</v>
      </c>
      <c r="C113" s="2" t="s">
        <v>219</v>
      </c>
      <c r="D113" s="2" t="s">
        <v>29</v>
      </c>
      <c r="E113" s="2" t="s">
        <v>30</v>
      </c>
      <c r="F113" s="2" t="s">
        <v>31</v>
      </c>
      <c r="G113" s="2" t="s">
        <v>32</v>
      </c>
      <c r="H113" s="2" t="n">
        <v>62</v>
      </c>
      <c r="I113" s="2" t="n">
        <v>2.037</v>
      </c>
      <c r="J113" s="2" t="n">
        <v>120</v>
      </c>
      <c r="K113" s="2" t="n">
        <v>0.178</v>
      </c>
      <c r="L113" s="2" t="n">
        <v>27.6</v>
      </c>
      <c r="M113" s="2" t="s">
        <v>33</v>
      </c>
      <c r="N113" s="2" t="s">
        <v>34</v>
      </c>
    </row>
    <row r="114" customFormat="false" ht="15" hidden="false" customHeight="false" outlineLevel="0" collapsed="false">
      <c r="A114" s="2" t="s">
        <v>260</v>
      </c>
      <c r="B114" s="2" t="s">
        <v>261</v>
      </c>
      <c r="C114" s="2" t="s">
        <v>219</v>
      </c>
      <c r="D114" s="2" t="s">
        <v>29</v>
      </c>
      <c r="E114" s="2" t="s">
        <v>30</v>
      </c>
      <c r="F114" s="2" t="s">
        <v>31</v>
      </c>
      <c r="G114" s="2" t="s">
        <v>32</v>
      </c>
      <c r="H114" s="2" t="n">
        <v>62</v>
      </c>
      <c r="I114" s="2" t="n">
        <v>2.05</v>
      </c>
      <c r="J114" s="2" t="n">
        <v>120</v>
      </c>
      <c r="K114" s="2" t="n">
        <v>0.169</v>
      </c>
      <c r="L114" s="2" t="n">
        <v>28.4</v>
      </c>
      <c r="M114" s="2" t="s">
        <v>33</v>
      </c>
      <c r="N114" s="2" t="s">
        <v>34</v>
      </c>
    </row>
    <row r="115" customFormat="false" ht="15" hidden="false" customHeight="false" outlineLevel="0" collapsed="false">
      <c r="A115" s="2" t="s">
        <v>262</v>
      </c>
      <c r="B115" s="2" t="s">
        <v>263</v>
      </c>
      <c r="C115" s="2" t="s">
        <v>219</v>
      </c>
      <c r="D115" s="2" t="s">
        <v>29</v>
      </c>
      <c r="E115" s="2" t="s">
        <v>30</v>
      </c>
      <c r="F115" s="2" t="s">
        <v>31</v>
      </c>
      <c r="G115" s="2" t="s">
        <v>32</v>
      </c>
      <c r="H115" s="2" t="n">
        <v>62</v>
      </c>
      <c r="I115" s="2" t="n">
        <v>2.091</v>
      </c>
      <c r="J115" s="2" t="n">
        <v>120</v>
      </c>
      <c r="K115" s="2" t="n">
        <v>0.131</v>
      </c>
      <c r="L115" s="2" t="n">
        <v>28.9</v>
      </c>
      <c r="M115" s="2" t="s">
        <v>33</v>
      </c>
      <c r="N115" s="2" t="s">
        <v>34</v>
      </c>
    </row>
    <row r="116" customFormat="false" ht="15" hidden="false" customHeight="false" outlineLevel="0" collapsed="false">
      <c r="A116" s="2" t="s">
        <v>264</v>
      </c>
      <c r="B116" s="2" t="s">
        <v>265</v>
      </c>
      <c r="C116" s="2" t="s">
        <v>219</v>
      </c>
      <c r="D116" s="2" t="s">
        <v>29</v>
      </c>
      <c r="E116" s="2" t="s">
        <v>30</v>
      </c>
      <c r="F116" s="2" t="s">
        <v>31</v>
      </c>
      <c r="G116" s="2" t="s">
        <v>32</v>
      </c>
      <c r="H116" s="2" t="n">
        <v>62</v>
      </c>
      <c r="I116" s="2" t="n">
        <v>2.041</v>
      </c>
      <c r="J116" s="2" t="n">
        <v>120</v>
      </c>
      <c r="K116" s="2" t="n">
        <v>0.175</v>
      </c>
      <c r="L116" s="2" t="n">
        <v>27.1</v>
      </c>
      <c r="M116" s="2" t="s">
        <v>33</v>
      </c>
      <c r="N116" s="2" t="s">
        <v>34</v>
      </c>
    </row>
    <row r="117" customFormat="false" ht="15" hidden="false" customHeight="false" outlineLevel="0" collapsed="false">
      <c r="A117" s="2" t="s">
        <v>266</v>
      </c>
      <c r="B117" s="2" t="s">
        <v>267</v>
      </c>
      <c r="C117" s="2" t="s">
        <v>219</v>
      </c>
      <c r="D117" s="2" t="s">
        <v>47</v>
      </c>
      <c r="E117" s="2" t="s">
        <v>30</v>
      </c>
      <c r="F117" s="2" t="s">
        <v>31</v>
      </c>
      <c r="G117" s="2" t="s">
        <v>32</v>
      </c>
      <c r="H117" s="2" t="n">
        <v>62</v>
      </c>
      <c r="I117" s="2" t="n">
        <v>2.104</v>
      </c>
      <c r="J117" s="2" t="n">
        <v>120</v>
      </c>
      <c r="K117" s="2" t="n">
        <v>0.132</v>
      </c>
      <c r="L117" s="2" t="n">
        <v>28.9</v>
      </c>
      <c r="M117" s="2" t="s">
        <v>33</v>
      </c>
      <c r="N117" s="2" t="s">
        <v>34</v>
      </c>
    </row>
    <row r="118" customFormat="false" ht="15" hidden="false" customHeight="false" outlineLevel="0" collapsed="false">
      <c r="A118" s="2" t="s">
        <v>268</v>
      </c>
      <c r="B118" s="2" t="s">
        <v>269</v>
      </c>
      <c r="C118" s="2" t="s">
        <v>219</v>
      </c>
      <c r="D118" s="2" t="s">
        <v>47</v>
      </c>
      <c r="E118" s="2" t="s">
        <v>30</v>
      </c>
      <c r="F118" s="2" t="s">
        <v>31</v>
      </c>
      <c r="G118" s="2" t="s">
        <v>32</v>
      </c>
      <c r="H118" s="2" t="n">
        <v>62</v>
      </c>
      <c r="I118" s="2" t="n">
        <v>2.096</v>
      </c>
      <c r="J118" s="2" t="n">
        <v>120</v>
      </c>
      <c r="K118" s="2" t="n">
        <v>0.147</v>
      </c>
      <c r="L118" s="2" t="n">
        <v>28.8</v>
      </c>
      <c r="M118" s="2" t="s">
        <v>33</v>
      </c>
      <c r="N118" s="2" t="s">
        <v>34</v>
      </c>
    </row>
    <row r="119" customFormat="false" ht="15" hidden="false" customHeight="false" outlineLevel="0" collapsed="false">
      <c r="A119" s="2" t="s">
        <v>270</v>
      </c>
      <c r="B119" s="2" t="s">
        <v>271</v>
      </c>
      <c r="C119" s="2" t="s">
        <v>219</v>
      </c>
      <c r="D119" s="2" t="s">
        <v>47</v>
      </c>
      <c r="E119" s="2" t="s">
        <v>30</v>
      </c>
      <c r="F119" s="2" t="s">
        <v>31</v>
      </c>
      <c r="G119" s="2" t="s">
        <v>32</v>
      </c>
      <c r="H119" s="2" t="n">
        <v>62</v>
      </c>
      <c r="I119" s="2" t="n">
        <v>2.084</v>
      </c>
      <c r="J119" s="2" t="n">
        <v>120</v>
      </c>
      <c r="K119" s="2" t="n">
        <v>0.159</v>
      </c>
      <c r="L119" s="2" t="n">
        <v>27.9</v>
      </c>
      <c r="M119" s="2" t="s">
        <v>33</v>
      </c>
      <c r="N119" s="2" t="s">
        <v>34</v>
      </c>
    </row>
    <row r="120" customFormat="false" ht="15" hidden="false" customHeight="false" outlineLevel="0" collapsed="false">
      <c r="A120" s="2" t="s">
        <v>272</v>
      </c>
      <c r="B120" s="2" t="s">
        <v>273</v>
      </c>
      <c r="C120" s="2" t="s">
        <v>219</v>
      </c>
      <c r="D120" s="2" t="s">
        <v>47</v>
      </c>
      <c r="E120" s="2" t="s">
        <v>30</v>
      </c>
      <c r="F120" s="2" t="s">
        <v>31</v>
      </c>
      <c r="G120" s="2" t="s">
        <v>32</v>
      </c>
      <c r="H120" s="2" t="n">
        <v>62</v>
      </c>
      <c r="I120" s="2" t="n">
        <v>2.067</v>
      </c>
      <c r="J120" s="2" t="n">
        <v>120</v>
      </c>
      <c r="K120" s="2" t="n">
        <v>0.144</v>
      </c>
      <c r="L120" s="2" t="n">
        <v>27.4</v>
      </c>
      <c r="M120" s="2" t="s">
        <v>33</v>
      </c>
      <c r="N120" s="2" t="s">
        <v>34</v>
      </c>
    </row>
    <row r="121" customFormat="false" ht="15" hidden="false" customHeight="false" outlineLevel="0" collapsed="false">
      <c r="A121" s="2" t="s">
        <v>274</v>
      </c>
      <c r="B121" s="2" t="s">
        <v>275</v>
      </c>
      <c r="C121" s="2" t="s">
        <v>219</v>
      </c>
      <c r="D121" s="2" t="s">
        <v>47</v>
      </c>
      <c r="E121" s="2" t="s">
        <v>30</v>
      </c>
      <c r="F121" s="2" t="s">
        <v>31</v>
      </c>
      <c r="G121" s="2" t="s">
        <v>32</v>
      </c>
      <c r="H121" s="2" t="n">
        <v>62</v>
      </c>
      <c r="I121" s="2" t="n">
        <v>2.075</v>
      </c>
      <c r="J121" s="2" t="n">
        <v>120</v>
      </c>
      <c r="K121" s="2" t="n">
        <v>0.14</v>
      </c>
      <c r="L121" s="2" t="n">
        <v>28.3</v>
      </c>
      <c r="M121" s="2" t="s">
        <v>33</v>
      </c>
      <c r="N121" s="2" t="s">
        <v>34</v>
      </c>
    </row>
    <row r="122" customFormat="false" ht="15" hidden="false" customHeight="false" outlineLevel="0" collapsed="false">
      <c r="A122" s="2" t="s">
        <v>276</v>
      </c>
      <c r="B122" s="2" t="s">
        <v>277</v>
      </c>
      <c r="C122" s="2" t="s">
        <v>219</v>
      </c>
      <c r="D122" s="2" t="s">
        <v>47</v>
      </c>
      <c r="E122" s="2" t="s">
        <v>30</v>
      </c>
      <c r="F122" s="2" t="s">
        <v>31</v>
      </c>
      <c r="G122" s="2" t="s">
        <v>32</v>
      </c>
      <c r="H122" s="2" t="n">
        <v>62</v>
      </c>
      <c r="I122" s="2" t="n">
        <v>2.029</v>
      </c>
      <c r="J122" s="2" t="n">
        <v>120</v>
      </c>
      <c r="K122" s="2" t="n">
        <v>0.147</v>
      </c>
      <c r="L122" s="2" t="n">
        <v>26.6</v>
      </c>
      <c r="M122" s="2" t="s">
        <v>33</v>
      </c>
      <c r="N122" s="2"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8" min="3" style="0" width="16"/>
  </cols>
  <sheetData>
    <row r="1" customFormat="false" ht="30" hidden="false" customHeight="true" outlineLevel="0" collapsed="false">
      <c r="A1" s="1" t="s">
        <v>12</v>
      </c>
      <c r="B1" s="1" t="s">
        <v>13</v>
      </c>
      <c r="C1" s="1" t="s">
        <v>14</v>
      </c>
      <c r="D1" s="1" t="s">
        <v>15</v>
      </c>
      <c r="E1" s="1" t="s">
        <v>16</v>
      </c>
      <c r="F1" s="1" t="s">
        <v>20</v>
      </c>
      <c r="G1" s="1" t="s">
        <v>278</v>
      </c>
      <c r="H1" s="1" t="s">
        <v>22</v>
      </c>
    </row>
    <row r="2" customFormat="false" ht="15" hidden="false" customHeight="false" outlineLevel="0" collapsed="false">
      <c r="A2" s="2" t="s">
        <v>26</v>
      </c>
      <c r="B2" s="2" t="s">
        <v>27</v>
      </c>
      <c r="C2" s="2" t="s">
        <v>28</v>
      </c>
      <c r="D2" s="2" t="s">
        <v>29</v>
      </c>
      <c r="E2" s="2" t="s">
        <v>30</v>
      </c>
      <c r="F2" s="2" t="n">
        <v>2.052</v>
      </c>
      <c r="G2" s="2" t="n">
        <v>61.56</v>
      </c>
      <c r="H2" s="2" t="n">
        <v>0.216</v>
      </c>
    </row>
    <row r="3" customFormat="false" ht="15" hidden="false" customHeight="false" outlineLevel="0" collapsed="false">
      <c r="A3" s="2" t="s">
        <v>35</v>
      </c>
      <c r="B3" s="2" t="s">
        <v>36</v>
      </c>
      <c r="C3" s="2" t="s">
        <v>28</v>
      </c>
      <c r="D3" s="2" t="s">
        <v>29</v>
      </c>
      <c r="E3" s="2" t="s">
        <v>30</v>
      </c>
      <c r="F3" s="2" t="n">
        <v>2.051</v>
      </c>
      <c r="G3" s="2" t="n">
        <v>61.53</v>
      </c>
      <c r="H3" s="2" t="n">
        <v>0.167</v>
      </c>
    </row>
    <row r="4" customFormat="false" ht="15" hidden="false" customHeight="false" outlineLevel="0" collapsed="false">
      <c r="A4" s="2" t="s">
        <v>37</v>
      </c>
      <c r="B4" s="2" t="s">
        <v>38</v>
      </c>
      <c r="C4" s="2" t="s">
        <v>28</v>
      </c>
      <c r="D4" s="2" t="s">
        <v>29</v>
      </c>
      <c r="E4" s="2" t="s">
        <v>30</v>
      </c>
      <c r="F4" s="2" t="n">
        <v>2.066</v>
      </c>
      <c r="G4" s="2" t="n">
        <v>61.98</v>
      </c>
      <c r="H4" s="2" t="n">
        <v>0.199</v>
      </c>
    </row>
    <row r="5" customFormat="false" ht="15" hidden="false" customHeight="false" outlineLevel="0" collapsed="false">
      <c r="A5" s="2" t="s">
        <v>39</v>
      </c>
      <c r="B5" s="2" t="s">
        <v>40</v>
      </c>
      <c r="C5" s="2" t="s">
        <v>28</v>
      </c>
      <c r="D5" s="2" t="s">
        <v>29</v>
      </c>
      <c r="E5" s="2" t="s">
        <v>30</v>
      </c>
      <c r="F5" s="2" t="n">
        <v>2.104</v>
      </c>
      <c r="G5" s="2" t="n">
        <v>63.12</v>
      </c>
      <c r="H5" s="2" t="n">
        <v>0.191</v>
      </c>
    </row>
    <row r="6" customFormat="false" ht="15" hidden="false" customHeight="false" outlineLevel="0" collapsed="false">
      <c r="A6" s="2" t="s">
        <v>41</v>
      </c>
      <c r="B6" s="2" t="s">
        <v>42</v>
      </c>
      <c r="C6" s="2" t="s">
        <v>28</v>
      </c>
      <c r="D6" s="2" t="s">
        <v>29</v>
      </c>
      <c r="E6" s="2" t="s">
        <v>30</v>
      </c>
      <c r="F6" s="2" t="n">
        <v>2.059</v>
      </c>
      <c r="G6" s="2" t="n">
        <v>61.77</v>
      </c>
      <c r="H6" s="2" t="n">
        <v>0.194</v>
      </c>
    </row>
    <row r="7" customFormat="false" ht="15" hidden="false" customHeight="false" outlineLevel="0" collapsed="false">
      <c r="A7" s="2" t="s">
        <v>43</v>
      </c>
      <c r="B7" s="2" t="s">
        <v>44</v>
      </c>
      <c r="C7" s="2" t="s">
        <v>28</v>
      </c>
      <c r="D7" s="2" t="s">
        <v>29</v>
      </c>
      <c r="E7" s="2" t="s">
        <v>30</v>
      </c>
      <c r="F7" s="2" t="n">
        <v>2.069</v>
      </c>
      <c r="G7" s="2" t="n">
        <v>62.07</v>
      </c>
      <c r="H7" s="2" t="n">
        <v>0.149</v>
      </c>
    </row>
    <row r="8" customFormat="false" ht="15" hidden="false" customHeight="false" outlineLevel="0" collapsed="false">
      <c r="A8" s="2" t="s">
        <v>45</v>
      </c>
      <c r="B8" s="2" t="s">
        <v>46</v>
      </c>
      <c r="C8" s="2" t="s">
        <v>28</v>
      </c>
      <c r="D8" s="2" t="s">
        <v>47</v>
      </c>
      <c r="E8" s="2" t="s">
        <v>30</v>
      </c>
      <c r="F8" s="2" t="n">
        <v>2.038</v>
      </c>
      <c r="G8" s="2" t="n">
        <v>61.14</v>
      </c>
      <c r="H8" s="2" t="n">
        <v>0.162</v>
      </c>
    </row>
    <row r="9" customFormat="false" ht="15" hidden="false" customHeight="false" outlineLevel="0" collapsed="false">
      <c r="A9" s="2" t="s">
        <v>48</v>
      </c>
      <c r="B9" s="2" t="s">
        <v>49</v>
      </c>
      <c r="C9" s="2" t="s">
        <v>28</v>
      </c>
      <c r="D9" s="2" t="s">
        <v>47</v>
      </c>
      <c r="E9" s="2" t="s">
        <v>30</v>
      </c>
      <c r="F9" s="2" t="n">
        <v>2.045</v>
      </c>
      <c r="G9" s="2" t="n">
        <v>61.35</v>
      </c>
      <c r="H9" s="2" t="n">
        <v>0.165</v>
      </c>
    </row>
    <row r="10" customFormat="false" ht="15" hidden="false" customHeight="false" outlineLevel="0" collapsed="false">
      <c r="A10" s="2" t="s">
        <v>50</v>
      </c>
      <c r="B10" s="2" t="s">
        <v>51</v>
      </c>
      <c r="C10" s="2" t="s">
        <v>28</v>
      </c>
      <c r="D10" s="2" t="s">
        <v>47</v>
      </c>
      <c r="E10" s="2" t="s">
        <v>30</v>
      </c>
      <c r="F10" s="2" t="n">
        <v>2.06</v>
      </c>
      <c r="G10" s="2" t="n">
        <v>61.8</v>
      </c>
      <c r="H10" s="2" t="n">
        <v>0.199</v>
      </c>
    </row>
    <row r="11" customFormat="false" ht="15" hidden="false" customHeight="false" outlineLevel="0" collapsed="false">
      <c r="A11" s="2" t="s">
        <v>52</v>
      </c>
      <c r="B11" s="2" t="s">
        <v>53</v>
      </c>
      <c r="C11" s="2" t="s">
        <v>28</v>
      </c>
      <c r="D11" s="2" t="s">
        <v>47</v>
      </c>
      <c r="E11" s="2" t="s">
        <v>30</v>
      </c>
      <c r="F11" s="2" t="n">
        <v>2.079</v>
      </c>
      <c r="G11" s="2" t="n">
        <v>62.37</v>
      </c>
      <c r="H11" s="2" t="n">
        <v>0.158</v>
      </c>
    </row>
    <row r="12" customFormat="false" ht="15" hidden="false" customHeight="false" outlineLevel="0" collapsed="false">
      <c r="A12" s="2" t="s">
        <v>54</v>
      </c>
      <c r="B12" s="2" t="s">
        <v>55</v>
      </c>
      <c r="C12" s="2" t="s">
        <v>28</v>
      </c>
      <c r="D12" s="2" t="s">
        <v>47</v>
      </c>
      <c r="E12" s="2" t="s">
        <v>30</v>
      </c>
      <c r="F12" s="2" t="n">
        <v>2.092</v>
      </c>
      <c r="G12" s="2" t="n">
        <v>62.76</v>
      </c>
      <c r="H12" s="2" t="n">
        <v>0.186</v>
      </c>
    </row>
    <row r="13" customFormat="false" ht="15" hidden="false" customHeight="false" outlineLevel="0" collapsed="false">
      <c r="A13" s="2" t="s">
        <v>56</v>
      </c>
      <c r="B13" s="2" t="s">
        <v>57</v>
      </c>
      <c r="C13" s="2" t="s">
        <v>28</v>
      </c>
      <c r="D13" s="2" t="s">
        <v>47</v>
      </c>
      <c r="E13" s="2" t="s">
        <v>30</v>
      </c>
      <c r="F13" s="2" t="n">
        <v>2.067</v>
      </c>
      <c r="G13" s="2" t="n">
        <v>62.01</v>
      </c>
      <c r="H13" s="2" t="n">
        <v>0.157</v>
      </c>
    </row>
    <row r="14" customFormat="false" ht="15" hidden="false" customHeight="false" outlineLevel="0" collapsed="false">
      <c r="A14" s="2" t="s">
        <v>58</v>
      </c>
      <c r="B14" s="2" t="s">
        <v>59</v>
      </c>
      <c r="C14" s="2" t="s">
        <v>28</v>
      </c>
      <c r="D14" s="2" t="s">
        <v>29</v>
      </c>
      <c r="E14" s="2" t="s">
        <v>30</v>
      </c>
      <c r="F14" s="2" t="n">
        <v>2.089</v>
      </c>
      <c r="G14" s="2" t="n">
        <v>62.67</v>
      </c>
      <c r="H14" s="2" t="n">
        <v>0.173</v>
      </c>
    </row>
    <row r="15" customFormat="false" ht="15" hidden="false" customHeight="false" outlineLevel="0" collapsed="false">
      <c r="A15" s="2" t="s">
        <v>60</v>
      </c>
      <c r="B15" s="2" t="s">
        <v>61</v>
      </c>
      <c r="C15" s="2" t="s">
        <v>28</v>
      </c>
      <c r="D15" s="2" t="s">
        <v>29</v>
      </c>
      <c r="E15" s="2" t="s">
        <v>30</v>
      </c>
      <c r="F15" s="2" t="n">
        <v>2.058</v>
      </c>
      <c r="G15" s="2" t="n">
        <v>61.74</v>
      </c>
      <c r="H15" s="2" t="n">
        <v>0.194</v>
      </c>
    </row>
    <row r="16" customFormat="false" ht="15" hidden="false" customHeight="false" outlineLevel="0" collapsed="false">
      <c r="A16" s="2" t="s">
        <v>62</v>
      </c>
      <c r="B16" s="2" t="s">
        <v>63</v>
      </c>
      <c r="C16" s="2" t="s">
        <v>28</v>
      </c>
      <c r="D16" s="2" t="s">
        <v>29</v>
      </c>
      <c r="E16" s="2" t="s">
        <v>30</v>
      </c>
      <c r="F16" s="2" t="n">
        <v>2.094</v>
      </c>
      <c r="G16" s="2" t="n">
        <v>62.82</v>
      </c>
      <c r="H16" s="2" t="n">
        <v>0.203</v>
      </c>
    </row>
    <row r="17" customFormat="false" ht="15" hidden="false" customHeight="false" outlineLevel="0" collapsed="false">
      <c r="A17" s="2" t="s">
        <v>64</v>
      </c>
      <c r="B17" s="2" t="s">
        <v>65</v>
      </c>
      <c r="C17" s="2" t="s">
        <v>28</v>
      </c>
      <c r="D17" s="2" t="s">
        <v>29</v>
      </c>
      <c r="E17" s="2" t="s">
        <v>30</v>
      </c>
      <c r="F17" s="2" t="n">
        <v>2.069</v>
      </c>
      <c r="G17" s="2" t="n">
        <v>62.07</v>
      </c>
      <c r="H17" s="2" t="n">
        <v>0.207</v>
      </c>
    </row>
    <row r="18" customFormat="false" ht="15" hidden="false" customHeight="false" outlineLevel="0" collapsed="false">
      <c r="A18" s="2" t="s">
        <v>66</v>
      </c>
      <c r="B18" s="2" t="s">
        <v>67</v>
      </c>
      <c r="C18" s="2" t="s">
        <v>28</v>
      </c>
      <c r="D18" s="2" t="s">
        <v>29</v>
      </c>
      <c r="E18" s="2" t="s">
        <v>30</v>
      </c>
      <c r="F18" s="2" t="n">
        <v>2.058</v>
      </c>
      <c r="G18" s="2" t="n">
        <v>61.74</v>
      </c>
      <c r="H18" s="2" t="n">
        <v>0.144</v>
      </c>
    </row>
    <row r="19" customFormat="false" ht="15" hidden="false" customHeight="false" outlineLevel="0" collapsed="false">
      <c r="A19" s="2" t="s">
        <v>68</v>
      </c>
      <c r="B19" s="2" t="s">
        <v>69</v>
      </c>
      <c r="C19" s="2" t="s">
        <v>28</v>
      </c>
      <c r="D19" s="2" t="s">
        <v>29</v>
      </c>
      <c r="E19" s="2" t="s">
        <v>30</v>
      </c>
      <c r="F19" s="2" t="n">
        <v>2.088</v>
      </c>
      <c r="G19" s="2" t="n">
        <v>62.64</v>
      </c>
      <c r="H19" s="2" t="n">
        <v>0.173</v>
      </c>
    </row>
    <row r="20" customFormat="false" ht="15" hidden="false" customHeight="false" outlineLevel="0" collapsed="false">
      <c r="A20" s="2" t="s">
        <v>70</v>
      </c>
      <c r="B20" s="2" t="s">
        <v>71</v>
      </c>
      <c r="C20" s="2" t="s">
        <v>28</v>
      </c>
      <c r="D20" s="2" t="s">
        <v>47</v>
      </c>
      <c r="E20" s="2" t="s">
        <v>30</v>
      </c>
      <c r="F20" s="2" t="n">
        <v>2.098</v>
      </c>
      <c r="G20" s="2" t="n">
        <v>62.94</v>
      </c>
      <c r="H20" s="2" t="n">
        <v>0.185</v>
      </c>
    </row>
    <row r="21" customFormat="false" ht="15" hidden="false" customHeight="false" outlineLevel="0" collapsed="false">
      <c r="A21" s="2" t="s">
        <v>72</v>
      </c>
      <c r="B21" s="2" t="s">
        <v>73</v>
      </c>
      <c r="C21" s="2" t="s">
        <v>28</v>
      </c>
      <c r="D21" s="2" t="s">
        <v>47</v>
      </c>
      <c r="E21" s="2" t="s">
        <v>30</v>
      </c>
      <c r="F21" s="2" t="n">
        <v>2.054</v>
      </c>
      <c r="G21" s="2" t="n">
        <v>61.62</v>
      </c>
      <c r="H21" s="2" t="n">
        <v>0.186</v>
      </c>
    </row>
    <row r="22" customFormat="false" ht="15" hidden="false" customHeight="false" outlineLevel="0" collapsed="false">
      <c r="A22" s="2" t="s">
        <v>74</v>
      </c>
      <c r="B22" s="2" t="s">
        <v>75</v>
      </c>
      <c r="C22" s="2" t="s">
        <v>28</v>
      </c>
      <c r="D22" s="2" t="s">
        <v>47</v>
      </c>
      <c r="E22" s="2" t="s">
        <v>30</v>
      </c>
      <c r="F22" s="2" t="n">
        <v>2.039</v>
      </c>
      <c r="G22" s="2" t="n">
        <v>61.17</v>
      </c>
      <c r="H22" s="2" t="n">
        <v>0.189</v>
      </c>
    </row>
    <row r="23" customFormat="false" ht="15" hidden="false" customHeight="false" outlineLevel="0" collapsed="false">
      <c r="A23" s="2" t="s">
        <v>76</v>
      </c>
      <c r="B23" s="2" t="s">
        <v>77</v>
      </c>
      <c r="C23" s="2" t="s">
        <v>28</v>
      </c>
      <c r="D23" s="2" t="s">
        <v>47</v>
      </c>
      <c r="E23" s="2" t="s">
        <v>30</v>
      </c>
      <c r="F23" s="2" t="n">
        <v>2.052</v>
      </c>
      <c r="G23" s="2" t="n">
        <v>61.56</v>
      </c>
      <c r="H23" s="2" t="n">
        <v>0.193</v>
      </c>
    </row>
    <row r="24" customFormat="false" ht="15" hidden="false" customHeight="false" outlineLevel="0" collapsed="false">
      <c r="A24" s="2" t="s">
        <v>78</v>
      </c>
      <c r="B24" s="2" t="s">
        <v>79</v>
      </c>
      <c r="C24" s="2" t="s">
        <v>28</v>
      </c>
      <c r="D24" s="2" t="s">
        <v>47</v>
      </c>
      <c r="E24" s="2" t="s">
        <v>30</v>
      </c>
      <c r="F24" s="2" t="n">
        <v>2.101</v>
      </c>
      <c r="G24" s="2" t="n">
        <v>63.03</v>
      </c>
      <c r="H24" s="2" t="n">
        <v>0.188</v>
      </c>
    </row>
    <row r="25" customFormat="false" ht="15" hidden="false" customHeight="false" outlineLevel="0" collapsed="false">
      <c r="A25" s="2" t="s">
        <v>80</v>
      </c>
      <c r="B25" s="2" t="s">
        <v>81</v>
      </c>
      <c r="C25" s="2" t="s">
        <v>28</v>
      </c>
      <c r="D25" s="2" t="s">
        <v>47</v>
      </c>
      <c r="E25" s="2" t="s">
        <v>30</v>
      </c>
      <c r="F25" s="2" t="n">
        <v>2.067</v>
      </c>
      <c r="G25" s="2" t="n">
        <v>62.01</v>
      </c>
      <c r="H25" s="2" t="n">
        <v>0.169</v>
      </c>
    </row>
    <row r="26" customFormat="false" ht="15" hidden="false" customHeight="false" outlineLevel="0" collapsed="false">
      <c r="A26" s="2" t="s">
        <v>82</v>
      </c>
      <c r="B26" s="2" t="s">
        <v>83</v>
      </c>
      <c r="C26" s="2" t="s">
        <v>28</v>
      </c>
      <c r="D26" s="2" t="s">
        <v>29</v>
      </c>
      <c r="E26" s="2" t="s">
        <v>30</v>
      </c>
      <c r="F26" s="2" t="n">
        <v>2.105</v>
      </c>
      <c r="G26" s="2" t="n">
        <v>63.15</v>
      </c>
      <c r="H26" s="2" t="n">
        <v>0.18</v>
      </c>
    </row>
    <row r="27" customFormat="false" ht="15" hidden="false" customHeight="false" outlineLevel="0" collapsed="false">
      <c r="A27" s="2" t="s">
        <v>84</v>
      </c>
      <c r="B27" s="2" t="s">
        <v>85</v>
      </c>
      <c r="C27" s="2" t="s">
        <v>28</v>
      </c>
      <c r="D27" s="2" t="s">
        <v>29</v>
      </c>
      <c r="E27" s="2" t="s">
        <v>30</v>
      </c>
      <c r="F27" s="2" t="n">
        <v>2.072</v>
      </c>
      <c r="G27" s="2" t="n">
        <v>62.16</v>
      </c>
      <c r="H27" s="2" t="n">
        <v>0.165</v>
      </c>
    </row>
    <row r="28" customFormat="false" ht="15" hidden="false" customHeight="false" outlineLevel="0" collapsed="false">
      <c r="A28" s="2" t="s">
        <v>86</v>
      </c>
      <c r="B28" s="2" t="s">
        <v>87</v>
      </c>
      <c r="C28" s="2" t="s">
        <v>28</v>
      </c>
      <c r="D28" s="2" t="s">
        <v>29</v>
      </c>
      <c r="E28" s="2" t="s">
        <v>30</v>
      </c>
      <c r="F28" s="2" t="n">
        <v>2.049</v>
      </c>
      <c r="G28" s="2" t="n">
        <v>61.47</v>
      </c>
      <c r="H28" s="2" t="n">
        <v>0.19</v>
      </c>
    </row>
    <row r="29" customFormat="false" ht="15" hidden="false" customHeight="false" outlineLevel="0" collapsed="false">
      <c r="A29" s="2" t="s">
        <v>88</v>
      </c>
      <c r="B29" s="2" t="s">
        <v>89</v>
      </c>
      <c r="C29" s="2" t="s">
        <v>28</v>
      </c>
      <c r="D29" s="2" t="s">
        <v>29</v>
      </c>
      <c r="E29" s="2" t="s">
        <v>30</v>
      </c>
      <c r="F29" s="2" t="n">
        <v>2.077</v>
      </c>
      <c r="G29" s="2" t="n">
        <v>62.31</v>
      </c>
      <c r="H29" s="2" t="n">
        <v>0.173</v>
      </c>
    </row>
    <row r="30" customFormat="false" ht="15" hidden="false" customHeight="false" outlineLevel="0" collapsed="false">
      <c r="A30" s="2" t="s">
        <v>90</v>
      </c>
      <c r="B30" s="2" t="s">
        <v>91</v>
      </c>
      <c r="C30" s="2" t="s">
        <v>28</v>
      </c>
      <c r="D30" s="2" t="s">
        <v>29</v>
      </c>
      <c r="E30" s="2" t="s">
        <v>30</v>
      </c>
      <c r="F30" s="2" t="n">
        <v>2.062</v>
      </c>
      <c r="G30" s="2" t="n">
        <v>61.86</v>
      </c>
      <c r="H30" s="2" t="n">
        <v>0.169</v>
      </c>
    </row>
    <row r="31" customFormat="false" ht="15" hidden="false" customHeight="false" outlineLevel="0" collapsed="false">
      <c r="A31" s="2" t="s">
        <v>92</v>
      </c>
      <c r="B31" s="2" t="s">
        <v>93</v>
      </c>
      <c r="C31" s="2" t="s">
        <v>28</v>
      </c>
      <c r="D31" s="2" t="s">
        <v>29</v>
      </c>
      <c r="E31" s="2" t="s">
        <v>30</v>
      </c>
      <c r="F31" s="2" t="n">
        <v>2.043</v>
      </c>
      <c r="G31" s="2" t="n">
        <v>61.29</v>
      </c>
      <c r="H31" s="2" t="n">
        <v>0.183</v>
      </c>
    </row>
    <row r="32" customFormat="false" ht="15" hidden="false" customHeight="false" outlineLevel="0" collapsed="false">
      <c r="A32" s="2" t="s">
        <v>94</v>
      </c>
      <c r="B32" s="2" t="s">
        <v>95</v>
      </c>
      <c r="C32" s="2" t="s">
        <v>28</v>
      </c>
      <c r="D32" s="2" t="s">
        <v>47</v>
      </c>
      <c r="E32" s="2" t="s">
        <v>30</v>
      </c>
      <c r="F32" s="2" t="n">
        <v>2.066</v>
      </c>
      <c r="G32" s="2" t="n">
        <v>61.98</v>
      </c>
      <c r="H32" s="2" t="n">
        <v>0.148</v>
      </c>
    </row>
    <row r="33" customFormat="false" ht="15" hidden="false" customHeight="false" outlineLevel="0" collapsed="false">
      <c r="A33" s="2" t="s">
        <v>96</v>
      </c>
      <c r="B33" s="2" t="s">
        <v>97</v>
      </c>
      <c r="C33" s="2" t="s">
        <v>28</v>
      </c>
      <c r="D33" s="2" t="s">
        <v>47</v>
      </c>
      <c r="E33" s="2" t="s">
        <v>30</v>
      </c>
      <c r="F33" s="2" t="n">
        <v>2.084</v>
      </c>
      <c r="G33" s="2" t="n">
        <v>62.52</v>
      </c>
      <c r="H33" s="2" t="n">
        <v>0.195</v>
      </c>
    </row>
    <row r="34" customFormat="false" ht="15" hidden="false" customHeight="false" outlineLevel="0" collapsed="false">
      <c r="A34" s="2" t="s">
        <v>98</v>
      </c>
      <c r="B34" s="2" t="s">
        <v>99</v>
      </c>
      <c r="C34" s="2" t="s">
        <v>28</v>
      </c>
      <c r="D34" s="2" t="s">
        <v>47</v>
      </c>
      <c r="E34" s="2" t="s">
        <v>30</v>
      </c>
      <c r="F34" s="2" t="n">
        <v>2.052</v>
      </c>
      <c r="G34" s="2" t="n">
        <v>61.56</v>
      </c>
      <c r="H34" s="2" t="n">
        <v>0.153</v>
      </c>
    </row>
    <row r="35" customFormat="false" ht="15" hidden="false" customHeight="false" outlineLevel="0" collapsed="false">
      <c r="A35" s="2" t="s">
        <v>100</v>
      </c>
      <c r="B35" s="2" t="s">
        <v>101</v>
      </c>
      <c r="C35" s="2" t="s">
        <v>28</v>
      </c>
      <c r="D35" s="2" t="s">
        <v>47</v>
      </c>
      <c r="E35" s="2" t="s">
        <v>30</v>
      </c>
      <c r="F35" s="2" t="n">
        <v>2.067</v>
      </c>
      <c r="G35" s="2" t="n">
        <v>62.01</v>
      </c>
      <c r="H35" s="2" t="n">
        <v>0.178</v>
      </c>
    </row>
    <row r="36" customFormat="false" ht="15" hidden="false" customHeight="false" outlineLevel="0" collapsed="false">
      <c r="A36" s="2" t="s">
        <v>102</v>
      </c>
      <c r="B36" s="2" t="s">
        <v>103</v>
      </c>
      <c r="C36" s="2" t="s">
        <v>28</v>
      </c>
      <c r="D36" s="2" t="s">
        <v>47</v>
      </c>
      <c r="E36" s="2" t="s">
        <v>30</v>
      </c>
      <c r="F36" s="2" t="n">
        <v>2.037</v>
      </c>
      <c r="G36" s="2" t="n">
        <v>61.11</v>
      </c>
      <c r="H36" s="2" t="n">
        <v>0.17</v>
      </c>
    </row>
    <row r="37" customFormat="false" ht="15" hidden="false" customHeight="false" outlineLevel="0" collapsed="false">
      <c r="A37" s="2" t="s">
        <v>104</v>
      </c>
      <c r="B37" s="2" t="s">
        <v>105</v>
      </c>
      <c r="C37" s="2" t="s">
        <v>28</v>
      </c>
      <c r="D37" s="2" t="s">
        <v>47</v>
      </c>
      <c r="E37" s="2" t="s">
        <v>30</v>
      </c>
      <c r="F37" s="2" t="n">
        <v>2.065</v>
      </c>
      <c r="G37" s="2" t="n">
        <v>61.95</v>
      </c>
      <c r="H37" s="2" t="n">
        <v>0.151</v>
      </c>
    </row>
    <row r="38" customFormat="false" ht="15" hidden="false" customHeight="false" outlineLevel="0" collapsed="false">
      <c r="A38" s="2" t="s">
        <v>106</v>
      </c>
      <c r="B38" s="2" t="s">
        <v>107</v>
      </c>
      <c r="C38" s="2" t="s">
        <v>28</v>
      </c>
      <c r="D38" s="2" t="s">
        <v>29</v>
      </c>
      <c r="E38" s="2" t="s">
        <v>30</v>
      </c>
      <c r="F38" s="2" t="n">
        <v>2.069</v>
      </c>
      <c r="G38" s="2" t="n">
        <v>62.07</v>
      </c>
      <c r="H38" s="2" t="n">
        <v>0.195</v>
      </c>
    </row>
    <row r="39" customFormat="false" ht="15" hidden="false" customHeight="false" outlineLevel="0" collapsed="false">
      <c r="A39" s="2" t="s">
        <v>108</v>
      </c>
      <c r="B39" s="2" t="s">
        <v>109</v>
      </c>
      <c r="C39" s="2" t="s">
        <v>28</v>
      </c>
      <c r="D39" s="2" t="s">
        <v>29</v>
      </c>
      <c r="E39" s="2" t="s">
        <v>30</v>
      </c>
      <c r="F39" s="2" t="n">
        <v>2.074</v>
      </c>
      <c r="G39" s="2" t="n">
        <v>62.22</v>
      </c>
      <c r="H39" s="2" t="n">
        <v>0.191</v>
      </c>
    </row>
    <row r="40" customFormat="false" ht="15" hidden="false" customHeight="false" outlineLevel="0" collapsed="false">
      <c r="A40" s="2" t="s">
        <v>110</v>
      </c>
      <c r="B40" s="2" t="s">
        <v>111</v>
      </c>
      <c r="C40" s="2" t="s">
        <v>28</v>
      </c>
      <c r="D40" s="2" t="s">
        <v>29</v>
      </c>
      <c r="E40" s="2" t="s">
        <v>30</v>
      </c>
      <c r="F40" s="2" t="n">
        <v>2.056</v>
      </c>
      <c r="G40" s="2" t="n">
        <v>61.68</v>
      </c>
      <c r="H40" s="2" t="n">
        <v>0.202</v>
      </c>
    </row>
    <row r="41" customFormat="false" ht="15" hidden="false" customHeight="false" outlineLevel="0" collapsed="false">
      <c r="A41" s="2" t="s">
        <v>112</v>
      </c>
      <c r="B41" s="2" t="s">
        <v>113</v>
      </c>
      <c r="C41" s="2" t="s">
        <v>28</v>
      </c>
      <c r="D41" s="2" t="s">
        <v>29</v>
      </c>
      <c r="E41" s="2" t="s">
        <v>30</v>
      </c>
      <c r="F41" s="2" t="n">
        <v>2.076</v>
      </c>
      <c r="G41" s="2" t="n">
        <v>62.28</v>
      </c>
      <c r="H41" s="2" t="n">
        <v>0.208</v>
      </c>
    </row>
    <row r="42" customFormat="false" ht="15" hidden="false" customHeight="false" outlineLevel="0" collapsed="false">
      <c r="A42" s="2" t="s">
        <v>114</v>
      </c>
      <c r="B42" s="2" t="s">
        <v>115</v>
      </c>
      <c r="C42" s="2" t="s">
        <v>28</v>
      </c>
      <c r="D42" s="2" t="s">
        <v>29</v>
      </c>
      <c r="E42" s="2" t="s">
        <v>30</v>
      </c>
      <c r="F42" s="2" t="n">
        <v>2.037</v>
      </c>
      <c r="G42" s="2" t="n">
        <v>61.11</v>
      </c>
      <c r="H42" s="2" t="n">
        <v>0.203</v>
      </c>
    </row>
    <row r="43" customFormat="false" ht="15" hidden="false" customHeight="false" outlineLevel="0" collapsed="false">
      <c r="A43" s="2" t="s">
        <v>116</v>
      </c>
      <c r="B43" s="2" t="s">
        <v>117</v>
      </c>
      <c r="C43" s="2" t="s">
        <v>28</v>
      </c>
      <c r="D43" s="2" t="s">
        <v>29</v>
      </c>
      <c r="E43" s="2" t="s">
        <v>30</v>
      </c>
      <c r="F43" s="2" t="n">
        <v>2.052</v>
      </c>
      <c r="G43" s="2" t="n">
        <v>61.56</v>
      </c>
      <c r="H43" s="2" t="n">
        <v>0.149</v>
      </c>
    </row>
    <row r="44" customFormat="false" ht="15" hidden="false" customHeight="false" outlineLevel="0" collapsed="false">
      <c r="A44" s="2" t="s">
        <v>118</v>
      </c>
      <c r="B44" s="2" t="s">
        <v>119</v>
      </c>
      <c r="C44" s="2" t="s">
        <v>28</v>
      </c>
      <c r="D44" s="2" t="s">
        <v>47</v>
      </c>
      <c r="E44" s="2" t="s">
        <v>30</v>
      </c>
      <c r="F44" s="2" t="n">
        <v>2.065</v>
      </c>
      <c r="G44" s="2" t="n">
        <v>61.95</v>
      </c>
      <c r="H44" s="2" t="n">
        <v>0.185</v>
      </c>
    </row>
    <row r="45" customFormat="false" ht="15" hidden="false" customHeight="false" outlineLevel="0" collapsed="false">
      <c r="A45" s="2" t="s">
        <v>120</v>
      </c>
      <c r="B45" s="2" t="s">
        <v>121</v>
      </c>
      <c r="C45" s="2" t="s">
        <v>28</v>
      </c>
      <c r="D45" s="2" t="s">
        <v>47</v>
      </c>
      <c r="E45" s="2" t="s">
        <v>30</v>
      </c>
      <c r="F45" s="2" t="n">
        <v>2.038</v>
      </c>
      <c r="G45" s="2" t="n">
        <v>61.14</v>
      </c>
      <c r="H45" s="2" t="n">
        <v>0.198</v>
      </c>
    </row>
    <row r="46" customFormat="false" ht="15" hidden="false" customHeight="false" outlineLevel="0" collapsed="false">
      <c r="A46" s="2" t="s">
        <v>122</v>
      </c>
      <c r="B46" s="2" t="s">
        <v>123</v>
      </c>
      <c r="C46" s="2" t="s">
        <v>28</v>
      </c>
      <c r="D46" s="2" t="s">
        <v>47</v>
      </c>
      <c r="E46" s="2" t="s">
        <v>30</v>
      </c>
      <c r="F46" s="2" t="n">
        <v>2.077</v>
      </c>
      <c r="G46" s="2" t="n">
        <v>62.31</v>
      </c>
      <c r="H46" s="2" t="n">
        <v>0.173</v>
      </c>
    </row>
    <row r="47" customFormat="false" ht="15" hidden="false" customHeight="false" outlineLevel="0" collapsed="false">
      <c r="A47" s="2" t="s">
        <v>124</v>
      </c>
      <c r="B47" s="2" t="s">
        <v>125</v>
      </c>
      <c r="C47" s="2" t="s">
        <v>28</v>
      </c>
      <c r="D47" s="2" t="s">
        <v>47</v>
      </c>
      <c r="E47" s="2" t="s">
        <v>30</v>
      </c>
      <c r="F47" s="2" t="n">
        <v>2.101</v>
      </c>
      <c r="G47" s="2" t="n">
        <v>63.03</v>
      </c>
      <c r="H47" s="2" t="n">
        <v>0.189</v>
      </c>
    </row>
    <row r="48" customFormat="false" ht="15" hidden="false" customHeight="false" outlineLevel="0" collapsed="false">
      <c r="A48" s="2" t="s">
        <v>126</v>
      </c>
      <c r="B48" s="2" t="s">
        <v>127</v>
      </c>
      <c r="C48" s="2" t="s">
        <v>28</v>
      </c>
      <c r="D48" s="2" t="s">
        <v>47</v>
      </c>
      <c r="E48" s="2" t="s">
        <v>30</v>
      </c>
      <c r="F48" s="2" t="n">
        <v>2.043</v>
      </c>
      <c r="G48" s="2" t="n">
        <v>61.29</v>
      </c>
      <c r="H48" s="2" t="n">
        <v>0.189</v>
      </c>
    </row>
    <row r="49" customFormat="false" ht="15" hidden="false" customHeight="false" outlineLevel="0" collapsed="false">
      <c r="A49" s="2" t="s">
        <v>128</v>
      </c>
      <c r="B49" s="2" t="s">
        <v>129</v>
      </c>
      <c r="C49" s="2" t="s">
        <v>28</v>
      </c>
      <c r="D49" s="2" t="s">
        <v>47</v>
      </c>
      <c r="E49" s="2" t="s">
        <v>30</v>
      </c>
      <c r="F49" s="2" t="n">
        <v>2.082</v>
      </c>
      <c r="G49" s="2" t="n">
        <v>62.46</v>
      </c>
      <c r="H49" s="2" t="n">
        <v>0.152</v>
      </c>
    </row>
    <row r="50" customFormat="false" ht="15" hidden="false" customHeight="false" outlineLevel="0" collapsed="false">
      <c r="A50" s="2" t="s">
        <v>130</v>
      </c>
      <c r="B50" s="2" t="s">
        <v>131</v>
      </c>
      <c r="C50" s="2" t="s">
        <v>28</v>
      </c>
      <c r="D50" s="2" t="s">
        <v>29</v>
      </c>
      <c r="E50" s="2" t="s">
        <v>30</v>
      </c>
      <c r="F50" s="2" t="n">
        <v>2.083</v>
      </c>
      <c r="G50" s="2" t="n">
        <v>62.49</v>
      </c>
      <c r="H50" s="2" t="n">
        <v>0.18</v>
      </c>
    </row>
    <row r="51" customFormat="false" ht="15" hidden="false" customHeight="false" outlineLevel="0" collapsed="false">
      <c r="A51" s="2" t="s">
        <v>132</v>
      </c>
      <c r="B51" s="2" t="s">
        <v>133</v>
      </c>
      <c r="C51" s="2" t="s">
        <v>28</v>
      </c>
      <c r="D51" s="2" t="s">
        <v>29</v>
      </c>
      <c r="E51" s="2" t="s">
        <v>30</v>
      </c>
      <c r="F51" s="2" t="n">
        <v>2.058</v>
      </c>
      <c r="G51" s="2" t="n">
        <v>61.74</v>
      </c>
      <c r="H51" s="2" t="n">
        <v>0.221</v>
      </c>
    </row>
    <row r="52" customFormat="false" ht="15" hidden="false" customHeight="false" outlineLevel="0" collapsed="false">
      <c r="A52" s="2" t="s">
        <v>134</v>
      </c>
      <c r="B52" s="2" t="s">
        <v>135</v>
      </c>
      <c r="C52" s="2" t="s">
        <v>28</v>
      </c>
      <c r="D52" s="2" t="s">
        <v>29</v>
      </c>
      <c r="E52" s="2" t="s">
        <v>30</v>
      </c>
      <c r="F52" s="2" t="n">
        <v>2.102</v>
      </c>
      <c r="G52" s="2" t="n">
        <v>63.06</v>
      </c>
      <c r="H52" s="2" t="n">
        <v>0.157</v>
      </c>
    </row>
    <row r="53" customFormat="false" ht="15" hidden="false" customHeight="false" outlineLevel="0" collapsed="false">
      <c r="A53" s="2" t="s">
        <v>136</v>
      </c>
      <c r="B53" s="2" t="s">
        <v>137</v>
      </c>
      <c r="C53" s="2" t="s">
        <v>28</v>
      </c>
      <c r="D53" s="2" t="s">
        <v>29</v>
      </c>
      <c r="E53" s="2" t="s">
        <v>30</v>
      </c>
      <c r="F53" s="2" t="n">
        <v>2.077</v>
      </c>
      <c r="G53" s="2" t="n">
        <v>62.31</v>
      </c>
      <c r="H53" s="2" t="n">
        <v>0.189</v>
      </c>
    </row>
    <row r="54" customFormat="false" ht="15" hidden="false" customHeight="false" outlineLevel="0" collapsed="false">
      <c r="A54" s="2" t="s">
        <v>138</v>
      </c>
      <c r="B54" s="2" t="s">
        <v>139</v>
      </c>
      <c r="C54" s="2" t="s">
        <v>28</v>
      </c>
      <c r="D54" s="2" t="s">
        <v>29</v>
      </c>
      <c r="E54" s="2" t="s">
        <v>30</v>
      </c>
      <c r="F54" s="2" t="n">
        <v>2.051</v>
      </c>
      <c r="G54" s="2" t="n">
        <v>61.53</v>
      </c>
      <c r="H54" s="2" t="n">
        <v>0.172</v>
      </c>
    </row>
    <row r="55" customFormat="false" ht="15" hidden="false" customHeight="false" outlineLevel="0" collapsed="false">
      <c r="A55" s="2" t="s">
        <v>140</v>
      </c>
      <c r="B55" s="2" t="s">
        <v>141</v>
      </c>
      <c r="C55" s="2" t="s">
        <v>28</v>
      </c>
      <c r="D55" s="2" t="s">
        <v>29</v>
      </c>
      <c r="E55" s="2" t="s">
        <v>30</v>
      </c>
      <c r="F55" s="2" t="n">
        <v>2.03</v>
      </c>
      <c r="G55" s="2" t="n">
        <v>60.9</v>
      </c>
      <c r="H55" s="2" t="n">
        <v>0.18</v>
      </c>
    </row>
    <row r="56" customFormat="false" ht="15" hidden="false" customHeight="false" outlineLevel="0" collapsed="false">
      <c r="A56" s="2" t="s">
        <v>142</v>
      </c>
      <c r="B56" s="2" t="s">
        <v>143</v>
      </c>
      <c r="C56" s="2" t="s">
        <v>28</v>
      </c>
      <c r="D56" s="2" t="s">
        <v>47</v>
      </c>
      <c r="E56" s="2" t="s">
        <v>30</v>
      </c>
      <c r="F56" s="2" t="n">
        <v>2.056</v>
      </c>
      <c r="G56" s="2" t="n">
        <v>61.68</v>
      </c>
      <c r="H56" s="2" t="n">
        <v>0.157</v>
      </c>
    </row>
    <row r="57" customFormat="false" ht="15" hidden="false" customHeight="false" outlineLevel="0" collapsed="false">
      <c r="A57" s="2" t="s">
        <v>144</v>
      </c>
      <c r="B57" s="2" t="s">
        <v>145</v>
      </c>
      <c r="C57" s="2" t="s">
        <v>28</v>
      </c>
      <c r="D57" s="2" t="s">
        <v>47</v>
      </c>
      <c r="E57" s="2" t="s">
        <v>30</v>
      </c>
      <c r="F57" s="2" t="n">
        <v>2.063</v>
      </c>
      <c r="G57" s="2" t="n">
        <v>61.89</v>
      </c>
      <c r="H57" s="2" t="n">
        <v>0.19</v>
      </c>
    </row>
    <row r="58" customFormat="false" ht="15" hidden="false" customHeight="false" outlineLevel="0" collapsed="false">
      <c r="A58" s="2" t="s">
        <v>146</v>
      </c>
      <c r="B58" s="2" t="s">
        <v>147</v>
      </c>
      <c r="C58" s="2" t="s">
        <v>28</v>
      </c>
      <c r="D58" s="2" t="s">
        <v>47</v>
      </c>
      <c r="E58" s="2" t="s">
        <v>30</v>
      </c>
      <c r="F58" s="2" t="n">
        <v>2.019</v>
      </c>
      <c r="G58" s="2" t="n">
        <v>60.57</v>
      </c>
      <c r="H58" s="2" t="n">
        <v>0.178</v>
      </c>
    </row>
    <row r="59" customFormat="false" ht="15" hidden="false" customHeight="false" outlineLevel="0" collapsed="false">
      <c r="A59" s="2" t="s">
        <v>148</v>
      </c>
      <c r="B59" s="2" t="s">
        <v>149</v>
      </c>
      <c r="C59" s="2" t="s">
        <v>28</v>
      </c>
      <c r="D59" s="2" t="s">
        <v>47</v>
      </c>
      <c r="E59" s="2" t="s">
        <v>30</v>
      </c>
      <c r="F59" s="2" t="n">
        <v>2.097</v>
      </c>
      <c r="G59" s="2" t="n">
        <v>62.91</v>
      </c>
      <c r="H59" s="2" t="n">
        <v>0.162</v>
      </c>
    </row>
    <row r="60" customFormat="false" ht="15" hidden="false" customHeight="false" outlineLevel="0" collapsed="false">
      <c r="A60" s="2" t="s">
        <v>150</v>
      </c>
      <c r="B60" s="2" t="s">
        <v>151</v>
      </c>
      <c r="C60" s="2" t="s">
        <v>28</v>
      </c>
      <c r="D60" s="2" t="s">
        <v>47</v>
      </c>
      <c r="E60" s="2" t="s">
        <v>30</v>
      </c>
      <c r="F60" s="2" t="n">
        <v>2.088</v>
      </c>
      <c r="G60" s="2" t="n">
        <v>62.64</v>
      </c>
      <c r="H60" s="2" t="n">
        <v>0.181</v>
      </c>
    </row>
    <row r="61" customFormat="false" ht="15" hidden="false" customHeight="false" outlineLevel="0" collapsed="false">
      <c r="A61" s="2" t="s">
        <v>152</v>
      </c>
      <c r="B61" s="2" t="s">
        <v>153</v>
      </c>
      <c r="C61" s="2" t="s">
        <v>28</v>
      </c>
      <c r="D61" s="2" t="s">
        <v>47</v>
      </c>
      <c r="E61" s="2" t="s">
        <v>30</v>
      </c>
      <c r="F61" s="2" t="n">
        <v>2.083</v>
      </c>
      <c r="G61" s="2" t="n">
        <v>62.49</v>
      </c>
      <c r="H61" s="2" t="n">
        <v>0.189</v>
      </c>
    </row>
    <row r="62" customFormat="false" ht="15" hidden="false" customHeight="false" outlineLevel="0" collapsed="false">
      <c r="A62" s="2" t="s">
        <v>154</v>
      </c>
      <c r="B62" s="2" t="s">
        <v>155</v>
      </c>
      <c r="C62" s="2" t="s">
        <v>156</v>
      </c>
      <c r="D62" s="2" t="s">
        <v>29</v>
      </c>
      <c r="E62" s="2" t="s">
        <v>30</v>
      </c>
      <c r="F62" s="2" t="n">
        <v>2.084</v>
      </c>
      <c r="G62" s="2" t="n">
        <v>62.52</v>
      </c>
      <c r="H62" s="2" t="n">
        <v>0.188</v>
      </c>
    </row>
    <row r="63" customFormat="false" ht="15" hidden="false" customHeight="false" outlineLevel="0" collapsed="false">
      <c r="A63" s="2" t="s">
        <v>157</v>
      </c>
      <c r="B63" s="2" t="s">
        <v>158</v>
      </c>
      <c r="C63" s="2" t="s">
        <v>156</v>
      </c>
      <c r="D63" s="2" t="s">
        <v>29</v>
      </c>
      <c r="E63" s="2" t="s">
        <v>30</v>
      </c>
      <c r="F63" s="2" t="n">
        <v>2.051</v>
      </c>
      <c r="G63" s="2" t="n">
        <v>61.53</v>
      </c>
      <c r="H63" s="2" t="n">
        <v>0.183</v>
      </c>
    </row>
    <row r="64" customFormat="false" ht="15" hidden="false" customHeight="false" outlineLevel="0" collapsed="false">
      <c r="A64" s="2" t="s">
        <v>159</v>
      </c>
      <c r="B64" s="2" t="s">
        <v>160</v>
      </c>
      <c r="C64" s="2" t="s">
        <v>156</v>
      </c>
      <c r="D64" s="2" t="s">
        <v>29</v>
      </c>
      <c r="E64" s="2" t="s">
        <v>30</v>
      </c>
      <c r="F64" s="2" t="n">
        <v>2.032</v>
      </c>
      <c r="G64" s="2" t="n">
        <v>60.96</v>
      </c>
      <c r="H64" s="2" t="n">
        <v>0.196</v>
      </c>
    </row>
    <row r="65" customFormat="false" ht="15" hidden="false" customHeight="false" outlineLevel="0" collapsed="false">
      <c r="A65" s="2" t="s">
        <v>161</v>
      </c>
      <c r="B65" s="2" t="s">
        <v>162</v>
      </c>
      <c r="C65" s="2" t="s">
        <v>156</v>
      </c>
      <c r="D65" s="2" t="s">
        <v>29</v>
      </c>
      <c r="E65" s="2" t="s">
        <v>30</v>
      </c>
      <c r="F65" s="2" t="n">
        <v>2.039</v>
      </c>
      <c r="G65" s="2" t="n">
        <v>61.17</v>
      </c>
      <c r="H65" s="2" t="n">
        <v>0.196</v>
      </c>
    </row>
    <row r="66" customFormat="false" ht="15" hidden="false" customHeight="false" outlineLevel="0" collapsed="false">
      <c r="A66" s="2" t="s">
        <v>163</v>
      </c>
      <c r="B66" s="2" t="s">
        <v>164</v>
      </c>
      <c r="C66" s="2" t="s">
        <v>156</v>
      </c>
      <c r="D66" s="2" t="s">
        <v>29</v>
      </c>
      <c r="E66" s="2" t="s">
        <v>30</v>
      </c>
      <c r="F66" s="2" t="n">
        <v>2.066</v>
      </c>
      <c r="G66" s="2" t="n">
        <v>61.98</v>
      </c>
      <c r="H66" s="2" t="n">
        <v>0.201</v>
      </c>
    </row>
    <row r="67" customFormat="false" ht="15" hidden="false" customHeight="false" outlineLevel="0" collapsed="false">
      <c r="A67" s="2" t="s">
        <v>165</v>
      </c>
      <c r="B67" s="2" t="s">
        <v>166</v>
      </c>
      <c r="C67" s="2" t="s">
        <v>156</v>
      </c>
      <c r="D67" s="2" t="s">
        <v>29</v>
      </c>
      <c r="E67" s="2" t="s">
        <v>30</v>
      </c>
      <c r="F67" s="2" t="n">
        <v>2.058</v>
      </c>
      <c r="G67" s="2" t="n">
        <v>61.74</v>
      </c>
      <c r="H67" s="2" t="n">
        <v>0.202</v>
      </c>
    </row>
    <row r="68" customFormat="false" ht="15" hidden="false" customHeight="false" outlineLevel="0" collapsed="false">
      <c r="A68" s="2" t="s">
        <v>167</v>
      </c>
      <c r="B68" s="2" t="s">
        <v>168</v>
      </c>
      <c r="C68" s="2" t="s">
        <v>156</v>
      </c>
      <c r="D68" s="2" t="s">
        <v>47</v>
      </c>
      <c r="E68" s="2" t="s">
        <v>30</v>
      </c>
      <c r="F68" s="2" t="n">
        <v>2.077</v>
      </c>
      <c r="G68" s="2" t="n">
        <v>62.31</v>
      </c>
      <c r="H68" s="2" t="n">
        <v>0.177</v>
      </c>
    </row>
    <row r="69" customFormat="false" ht="15" hidden="false" customHeight="false" outlineLevel="0" collapsed="false">
      <c r="A69" s="2" t="s">
        <v>172</v>
      </c>
      <c r="B69" s="2" t="s">
        <v>173</v>
      </c>
      <c r="C69" s="2" t="s">
        <v>156</v>
      </c>
      <c r="D69" s="2" t="s">
        <v>47</v>
      </c>
      <c r="E69" s="2" t="s">
        <v>30</v>
      </c>
      <c r="F69" s="2" t="n">
        <v>2.05</v>
      </c>
      <c r="G69" s="2" t="n">
        <v>61.5</v>
      </c>
      <c r="H69" s="2" t="n">
        <v>0.189</v>
      </c>
    </row>
    <row r="70" customFormat="false" ht="15" hidden="false" customHeight="false" outlineLevel="0" collapsed="false">
      <c r="A70" s="2" t="s">
        <v>174</v>
      </c>
      <c r="B70" s="2" t="s">
        <v>175</v>
      </c>
      <c r="C70" s="2" t="s">
        <v>156</v>
      </c>
      <c r="D70" s="2" t="s">
        <v>47</v>
      </c>
      <c r="E70" s="2" t="s">
        <v>30</v>
      </c>
      <c r="F70" s="2" t="n">
        <v>2.032</v>
      </c>
      <c r="G70" s="2" t="n">
        <v>60.96</v>
      </c>
      <c r="H70" s="2" t="n">
        <v>0.163</v>
      </c>
    </row>
    <row r="71" customFormat="false" ht="15" hidden="false" customHeight="false" outlineLevel="0" collapsed="false">
      <c r="A71" s="2" t="s">
        <v>176</v>
      </c>
      <c r="B71" s="2" t="s">
        <v>177</v>
      </c>
      <c r="C71" s="2" t="s">
        <v>156</v>
      </c>
      <c r="D71" s="2" t="s">
        <v>47</v>
      </c>
      <c r="E71" s="2" t="s">
        <v>30</v>
      </c>
      <c r="F71" s="2" t="n">
        <v>2.104</v>
      </c>
      <c r="G71" s="2" t="n">
        <v>63.12</v>
      </c>
      <c r="H71" s="2" t="n">
        <v>0.188</v>
      </c>
    </row>
    <row r="72" customFormat="false" ht="15" hidden="false" customHeight="false" outlineLevel="0" collapsed="false">
      <c r="A72" s="2" t="s">
        <v>178</v>
      </c>
      <c r="B72" s="2" t="s">
        <v>179</v>
      </c>
      <c r="C72" s="2" t="s">
        <v>156</v>
      </c>
      <c r="D72" s="2" t="s">
        <v>47</v>
      </c>
      <c r="E72" s="2" t="s">
        <v>30</v>
      </c>
      <c r="F72" s="2" t="n">
        <v>2.07</v>
      </c>
      <c r="G72" s="2" t="n">
        <v>62.1</v>
      </c>
      <c r="H72" s="2" t="n">
        <v>0.21</v>
      </c>
    </row>
    <row r="73" customFormat="false" ht="15" hidden="false" customHeight="false" outlineLevel="0" collapsed="false">
      <c r="A73" s="2" t="s">
        <v>180</v>
      </c>
      <c r="B73" s="2" t="s">
        <v>181</v>
      </c>
      <c r="C73" s="2" t="s">
        <v>156</v>
      </c>
      <c r="D73" s="2" t="s">
        <v>29</v>
      </c>
      <c r="E73" s="2" t="s">
        <v>30</v>
      </c>
      <c r="F73" s="2" t="n">
        <v>1.929</v>
      </c>
      <c r="G73" s="2" t="n">
        <v>57.87</v>
      </c>
      <c r="H73" s="2" t="n">
        <v>0.434</v>
      </c>
    </row>
    <row r="74" customFormat="false" ht="15" hidden="false" customHeight="false" outlineLevel="0" collapsed="false">
      <c r="A74" s="2" t="s">
        <v>182</v>
      </c>
      <c r="B74" s="2" t="s">
        <v>183</v>
      </c>
      <c r="C74" s="2" t="s">
        <v>156</v>
      </c>
      <c r="D74" s="2" t="s">
        <v>29</v>
      </c>
      <c r="E74" s="2" t="s">
        <v>30</v>
      </c>
      <c r="F74" s="2" t="n">
        <v>1.97</v>
      </c>
      <c r="G74" s="2" t="n">
        <v>59.1</v>
      </c>
      <c r="H74" s="2" t="n">
        <v>0.389</v>
      </c>
    </row>
    <row r="75" customFormat="false" ht="15" hidden="false" customHeight="false" outlineLevel="0" collapsed="false">
      <c r="A75" s="2" t="s">
        <v>184</v>
      </c>
      <c r="B75" s="2" t="s">
        <v>185</v>
      </c>
      <c r="C75" s="2" t="s">
        <v>156</v>
      </c>
      <c r="D75" s="2" t="s">
        <v>29</v>
      </c>
      <c r="E75" s="2" t="s">
        <v>30</v>
      </c>
      <c r="F75" s="2" t="n">
        <v>1.915</v>
      </c>
      <c r="G75" s="2" t="n">
        <v>57.45</v>
      </c>
      <c r="H75" s="2" t="n">
        <v>0.417</v>
      </c>
    </row>
    <row r="76" customFormat="false" ht="15" hidden="false" customHeight="false" outlineLevel="0" collapsed="false">
      <c r="A76" s="2" t="s">
        <v>186</v>
      </c>
      <c r="B76" s="2" t="s">
        <v>187</v>
      </c>
      <c r="C76" s="2" t="s">
        <v>156</v>
      </c>
      <c r="D76" s="2" t="s">
        <v>29</v>
      </c>
      <c r="E76" s="2" t="s">
        <v>30</v>
      </c>
      <c r="F76" s="2" t="n">
        <v>1.927</v>
      </c>
      <c r="G76" s="2" t="n">
        <v>57.81</v>
      </c>
      <c r="H76" s="2" t="n">
        <v>0.398</v>
      </c>
    </row>
    <row r="77" customFormat="false" ht="15" hidden="false" customHeight="false" outlineLevel="0" collapsed="false">
      <c r="A77" s="2" t="s">
        <v>188</v>
      </c>
      <c r="B77" s="2" t="s">
        <v>189</v>
      </c>
      <c r="C77" s="2" t="s">
        <v>156</v>
      </c>
      <c r="D77" s="2" t="s">
        <v>29</v>
      </c>
      <c r="E77" s="2" t="s">
        <v>30</v>
      </c>
      <c r="F77" s="2" t="n">
        <v>1.907</v>
      </c>
      <c r="G77" s="2" t="n">
        <v>57.21</v>
      </c>
      <c r="H77" s="2" t="n">
        <v>0.425</v>
      </c>
    </row>
    <row r="78" customFormat="false" ht="15" hidden="false" customHeight="false" outlineLevel="0" collapsed="false">
      <c r="A78" s="2" t="s">
        <v>190</v>
      </c>
      <c r="B78" s="2" t="s">
        <v>191</v>
      </c>
      <c r="C78" s="2" t="s">
        <v>156</v>
      </c>
      <c r="D78" s="2" t="s">
        <v>29</v>
      </c>
      <c r="E78" s="2" t="s">
        <v>30</v>
      </c>
      <c r="F78" s="2" t="n">
        <v>1.977</v>
      </c>
      <c r="G78" s="2" t="n">
        <v>59.31</v>
      </c>
      <c r="H78" s="2" t="n">
        <v>0.431</v>
      </c>
    </row>
    <row r="79" customFormat="false" ht="15" hidden="false" customHeight="false" outlineLevel="0" collapsed="false">
      <c r="A79" s="2" t="s">
        <v>192</v>
      </c>
      <c r="B79" s="2" t="s">
        <v>193</v>
      </c>
      <c r="C79" s="2" t="s">
        <v>156</v>
      </c>
      <c r="D79" s="2" t="s">
        <v>47</v>
      </c>
      <c r="E79" s="2" t="s">
        <v>30</v>
      </c>
      <c r="F79" s="2" t="n">
        <v>1.936</v>
      </c>
      <c r="G79" s="2" t="n">
        <v>58.08</v>
      </c>
      <c r="H79" s="2" t="n">
        <v>0.431</v>
      </c>
    </row>
    <row r="80" customFormat="false" ht="15" hidden="false" customHeight="false" outlineLevel="0" collapsed="false">
      <c r="A80" s="2" t="s">
        <v>194</v>
      </c>
      <c r="B80" s="2" t="s">
        <v>195</v>
      </c>
      <c r="C80" s="2" t="s">
        <v>156</v>
      </c>
      <c r="D80" s="2" t="s">
        <v>47</v>
      </c>
      <c r="E80" s="2" t="s">
        <v>30</v>
      </c>
      <c r="F80" s="2" t="n">
        <v>1.904</v>
      </c>
      <c r="G80" s="2" t="n">
        <v>57.12</v>
      </c>
      <c r="H80" s="2" t="n">
        <v>0.422</v>
      </c>
    </row>
    <row r="81" customFormat="false" ht="15" hidden="false" customHeight="false" outlineLevel="0" collapsed="false">
      <c r="A81" s="2" t="s">
        <v>196</v>
      </c>
      <c r="B81" s="2" t="s">
        <v>197</v>
      </c>
      <c r="C81" s="2" t="s">
        <v>156</v>
      </c>
      <c r="D81" s="2" t="s">
        <v>47</v>
      </c>
      <c r="E81" s="2" t="s">
        <v>30</v>
      </c>
      <c r="F81" s="2" t="n">
        <v>1.942</v>
      </c>
      <c r="G81" s="2" t="n">
        <v>58.26</v>
      </c>
      <c r="H81" s="2" t="n">
        <v>0.427</v>
      </c>
    </row>
    <row r="82" customFormat="false" ht="15" hidden="false" customHeight="false" outlineLevel="0" collapsed="false">
      <c r="A82" s="2" t="s">
        <v>198</v>
      </c>
      <c r="B82" s="2" t="s">
        <v>199</v>
      </c>
      <c r="C82" s="2" t="s">
        <v>156</v>
      </c>
      <c r="D82" s="2" t="s">
        <v>47</v>
      </c>
      <c r="E82" s="2" t="s">
        <v>30</v>
      </c>
      <c r="F82" s="2" t="n">
        <v>1.937</v>
      </c>
      <c r="G82" s="2" t="n">
        <v>58.11</v>
      </c>
      <c r="H82" s="2" t="n">
        <v>0.424</v>
      </c>
    </row>
    <row r="83" customFormat="false" ht="15" hidden="false" customHeight="false" outlineLevel="0" collapsed="false">
      <c r="A83" s="2" t="s">
        <v>203</v>
      </c>
      <c r="B83" s="2" t="s">
        <v>204</v>
      </c>
      <c r="C83" s="2" t="s">
        <v>156</v>
      </c>
      <c r="D83" s="2" t="s">
        <v>47</v>
      </c>
      <c r="E83" s="2" t="s">
        <v>30</v>
      </c>
      <c r="F83" s="2" t="n">
        <v>1.929</v>
      </c>
      <c r="G83" s="2" t="n">
        <v>57.87</v>
      </c>
      <c r="H83" s="2" t="n">
        <v>0.427</v>
      </c>
    </row>
    <row r="84" customFormat="false" ht="15" hidden="false" customHeight="false" outlineLevel="0" collapsed="false">
      <c r="A84" s="2" t="s">
        <v>205</v>
      </c>
      <c r="B84" s="2" t="s">
        <v>206</v>
      </c>
      <c r="C84" s="2" t="s">
        <v>156</v>
      </c>
      <c r="D84" s="2" t="s">
        <v>29</v>
      </c>
      <c r="E84" s="2" t="s">
        <v>30</v>
      </c>
      <c r="F84" s="2" t="n">
        <v>1.943</v>
      </c>
      <c r="G84" s="2" t="n">
        <v>58.29</v>
      </c>
      <c r="H84" s="2" t="n">
        <v>0.404</v>
      </c>
    </row>
    <row r="85" customFormat="false" ht="15" hidden="false" customHeight="false" outlineLevel="0" collapsed="false">
      <c r="A85" s="2" t="s">
        <v>207</v>
      </c>
      <c r="B85" s="2" t="s">
        <v>208</v>
      </c>
      <c r="C85" s="2" t="s">
        <v>156</v>
      </c>
      <c r="D85" s="2" t="s">
        <v>29</v>
      </c>
      <c r="E85" s="2" t="s">
        <v>30</v>
      </c>
      <c r="F85" s="2" t="n">
        <v>1.873</v>
      </c>
      <c r="G85" s="2" t="n">
        <v>56.19</v>
      </c>
      <c r="H85" s="2" t="n">
        <v>0.426</v>
      </c>
    </row>
    <row r="86" customFormat="false" ht="15" hidden="false" customHeight="false" outlineLevel="0" collapsed="false">
      <c r="A86" s="2" t="s">
        <v>209</v>
      </c>
      <c r="B86" s="2" t="s">
        <v>210</v>
      </c>
      <c r="C86" s="2" t="s">
        <v>156</v>
      </c>
      <c r="D86" s="2" t="s">
        <v>29</v>
      </c>
      <c r="E86" s="2" t="s">
        <v>30</v>
      </c>
      <c r="F86" s="2" t="n">
        <v>1.921</v>
      </c>
      <c r="G86" s="2" t="n">
        <v>57.63</v>
      </c>
      <c r="H86" s="2" t="n">
        <v>0.406</v>
      </c>
    </row>
    <row r="87" customFormat="false" ht="15" hidden="false" customHeight="false" outlineLevel="0" collapsed="false">
      <c r="A87" s="2" t="s">
        <v>211</v>
      </c>
      <c r="B87" s="2" t="s">
        <v>212</v>
      </c>
      <c r="C87" s="2" t="s">
        <v>156</v>
      </c>
      <c r="D87" s="2" t="s">
        <v>29</v>
      </c>
      <c r="E87" s="2" t="s">
        <v>30</v>
      </c>
      <c r="F87" s="2" t="n">
        <v>1.937</v>
      </c>
      <c r="G87" s="2" t="n">
        <v>58.11</v>
      </c>
      <c r="H87" s="2" t="n">
        <v>0.44</v>
      </c>
    </row>
    <row r="88" customFormat="false" ht="15" hidden="false" customHeight="false" outlineLevel="0" collapsed="false">
      <c r="A88" s="2" t="s">
        <v>213</v>
      </c>
      <c r="B88" s="2" t="s">
        <v>214</v>
      </c>
      <c r="C88" s="2" t="s">
        <v>156</v>
      </c>
      <c r="D88" s="2" t="s">
        <v>29</v>
      </c>
      <c r="E88" s="2" t="s">
        <v>30</v>
      </c>
      <c r="F88" s="2" t="n">
        <v>1.93</v>
      </c>
      <c r="G88" s="2" t="n">
        <v>57.9</v>
      </c>
      <c r="H88" s="2" t="n">
        <v>0.452</v>
      </c>
    </row>
    <row r="89" customFormat="false" ht="15" hidden="false" customHeight="false" outlineLevel="0" collapsed="false">
      <c r="A89" s="2" t="s">
        <v>215</v>
      </c>
      <c r="B89" s="2" t="s">
        <v>216</v>
      </c>
      <c r="C89" s="2" t="s">
        <v>156</v>
      </c>
      <c r="D89" s="2" t="s">
        <v>29</v>
      </c>
      <c r="E89" s="2" t="s">
        <v>30</v>
      </c>
      <c r="F89" s="2" t="n">
        <v>1.936</v>
      </c>
      <c r="G89" s="2" t="n">
        <v>58.08</v>
      </c>
      <c r="H89" s="2" t="n">
        <v>0.429</v>
      </c>
    </row>
    <row r="90" customFormat="false" ht="15" hidden="false" customHeight="false" outlineLevel="0" collapsed="false">
      <c r="A90" s="2" t="s">
        <v>217</v>
      </c>
      <c r="B90" s="2" t="s">
        <v>218</v>
      </c>
      <c r="C90" s="2" t="s">
        <v>219</v>
      </c>
      <c r="D90" s="2" t="s">
        <v>47</v>
      </c>
      <c r="E90" s="2" t="s">
        <v>30</v>
      </c>
      <c r="F90" s="2" t="n">
        <v>2.079</v>
      </c>
      <c r="G90" s="2" t="n">
        <v>62.37</v>
      </c>
      <c r="H90" s="2" t="n">
        <v>0.109</v>
      </c>
    </row>
    <row r="91" customFormat="false" ht="15" hidden="false" customHeight="false" outlineLevel="0" collapsed="false">
      <c r="A91" s="2" t="s">
        <v>220</v>
      </c>
      <c r="B91" s="2" t="s">
        <v>221</v>
      </c>
      <c r="C91" s="2" t="s">
        <v>219</v>
      </c>
      <c r="D91" s="2" t="s">
        <v>47</v>
      </c>
      <c r="E91" s="2" t="s">
        <v>30</v>
      </c>
      <c r="F91" s="2" t="n">
        <v>2.049</v>
      </c>
      <c r="G91" s="2" t="n">
        <v>61.47</v>
      </c>
      <c r="H91" s="2" t="n">
        <v>0.162</v>
      </c>
    </row>
    <row r="92" customFormat="false" ht="15" hidden="false" customHeight="false" outlineLevel="0" collapsed="false">
      <c r="A92" s="2" t="s">
        <v>222</v>
      </c>
      <c r="B92" s="2" t="s">
        <v>223</v>
      </c>
      <c r="C92" s="2" t="s">
        <v>219</v>
      </c>
      <c r="D92" s="2" t="s">
        <v>47</v>
      </c>
      <c r="E92" s="2" t="s">
        <v>30</v>
      </c>
      <c r="F92" s="2" t="n">
        <v>2.075</v>
      </c>
      <c r="G92" s="2" t="n">
        <v>62.25</v>
      </c>
      <c r="H92" s="2" t="n">
        <v>0.141</v>
      </c>
    </row>
    <row r="93" customFormat="false" ht="15" hidden="false" customHeight="false" outlineLevel="0" collapsed="false">
      <c r="A93" s="2" t="s">
        <v>224</v>
      </c>
      <c r="B93" s="2" t="s">
        <v>225</v>
      </c>
      <c r="C93" s="2" t="s">
        <v>219</v>
      </c>
      <c r="D93" s="2" t="s">
        <v>47</v>
      </c>
      <c r="E93" s="2" t="s">
        <v>30</v>
      </c>
      <c r="F93" s="2" t="n">
        <v>2.062</v>
      </c>
      <c r="G93" s="2" t="n">
        <v>61.86</v>
      </c>
      <c r="H93" s="2" t="n">
        <v>0.185</v>
      </c>
    </row>
    <row r="94" customFormat="false" ht="15" hidden="false" customHeight="false" outlineLevel="0" collapsed="false">
      <c r="A94" s="2" t="s">
        <v>226</v>
      </c>
      <c r="B94" s="2" t="s">
        <v>227</v>
      </c>
      <c r="C94" s="2" t="s">
        <v>219</v>
      </c>
      <c r="D94" s="2" t="s">
        <v>47</v>
      </c>
      <c r="E94" s="2" t="s">
        <v>30</v>
      </c>
      <c r="F94" s="2" t="n">
        <v>2.048</v>
      </c>
      <c r="G94" s="2" t="n">
        <v>61.44</v>
      </c>
      <c r="H94" s="2" t="n">
        <v>0.146</v>
      </c>
    </row>
    <row r="95" customFormat="false" ht="15" hidden="false" customHeight="false" outlineLevel="0" collapsed="false">
      <c r="A95" s="2" t="s">
        <v>228</v>
      </c>
      <c r="B95" s="2" t="s">
        <v>229</v>
      </c>
      <c r="C95" s="2" t="s">
        <v>219</v>
      </c>
      <c r="D95" s="2" t="s">
        <v>47</v>
      </c>
      <c r="E95" s="2" t="s">
        <v>30</v>
      </c>
      <c r="F95" s="2" t="n">
        <v>2.046</v>
      </c>
      <c r="G95" s="2" t="n">
        <v>61.38</v>
      </c>
      <c r="H95" s="2" t="n">
        <v>0.138</v>
      </c>
    </row>
    <row r="96" customFormat="false" ht="15" hidden="false" customHeight="false" outlineLevel="0" collapsed="false">
      <c r="A96" s="2" t="s">
        <v>230</v>
      </c>
      <c r="B96" s="2" t="s">
        <v>231</v>
      </c>
      <c r="C96" s="2" t="s">
        <v>219</v>
      </c>
      <c r="D96" s="2" t="s">
        <v>29</v>
      </c>
      <c r="E96" s="2" t="s">
        <v>30</v>
      </c>
      <c r="F96" s="2" t="n">
        <v>2.067</v>
      </c>
      <c r="G96" s="2" t="n">
        <v>62.01</v>
      </c>
      <c r="H96" s="2" t="n">
        <v>0.121</v>
      </c>
    </row>
    <row r="97" customFormat="false" ht="15" hidden="false" customHeight="false" outlineLevel="0" collapsed="false">
      <c r="A97" s="2" t="s">
        <v>232</v>
      </c>
      <c r="B97" s="2" t="s">
        <v>233</v>
      </c>
      <c r="C97" s="2" t="s">
        <v>219</v>
      </c>
      <c r="D97" s="2" t="s">
        <v>29</v>
      </c>
      <c r="E97" s="2" t="s">
        <v>30</v>
      </c>
      <c r="F97" s="2" t="n">
        <v>2.035</v>
      </c>
      <c r="G97" s="2" t="n">
        <v>61.05</v>
      </c>
      <c r="H97" s="2" t="n">
        <v>0.175</v>
      </c>
    </row>
    <row r="98" customFormat="false" ht="15" hidden="false" customHeight="false" outlineLevel="0" collapsed="false">
      <c r="A98" s="2" t="s">
        <v>234</v>
      </c>
      <c r="B98" s="2" t="s">
        <v>235</v>
      </c>
      <c r="C98" s="2" t="s">
        <v>219</v>
      </c>
      <c r="D98" s="2" t="s">
        <v>29</v>
      </c>
      <c r="E98" s="2" t="s">
        <v>30</v>
      </c>
      <c r="F98" s="2" t="n">
        <v>2.071</v>
      </c>
      <c r="G98" s="2" t="n">
        <v>62.13</v>
      </c>
      <c r="H98" s="2" t="n">
        <v>0.175</v>
      </c>
    </row>
    <row r="99" customFormat="false" ht="15" hidden="false" customHeight="false" outlineLevel="0" collapsed="false">
      <c r="A99" s="2" t="s">
        <v>236</v>
      </c>
      <c r="B99" s="2" t="s">
        <v>237</v>
      </c>
      <c r="C99" s="2" t="s">
        <v>219</v>
      </c>
      <c r="D99" s="2" t="s">
        <v>29</v>
      </c>
      <c r="E99" s="2" t="s">
        <v>30</v>
      </c>
      <c r="F99" s="2" t="n">
        <v>2.068</v>
      </c>
      <c r="G99" s="2" t="n">
        <v>62.04</v>
      </c>
      <c r="H99" s="2" t="n">
        <v>0.157</v>
      </c>
    </row>
    <row r="100" customFormat="false" ht="15" hidden="false" customHeight="false" outlineLevel="0" collapsed="false">
      <c r="A100" s="2" t="s">
        <v>238</v>
      </c>
      <c r="B100" s="2" t="s">
        <v>239</v>
      </c>
      <c r="C100" s="2" t="s">
        <v>219</v>
      </c>
      <c r="D100" s="2" t="s">
        <v>29</v>
      </c>
      <c r="E100" s="2" t="s">
        <v>30</v>
      </c>
      <c r="F100" s="2" t="n">
        <v>2.056</v>
      </c>
      <c r="G100" s="2" t="n">
        <v>61.68</v>
      </c>
      <c r="H100" s="2" t="n">
        <v>0.133</v>
      </c>
    </row>
    <row r="101" customFormat="false" ht="15" hidden="false" customHeight="false" outlineLevel="0" collapsed="false">
      <c r="A101" s="2" t="s">
        <v>240</v>
      </c>
      <c r="B101" s="2" t="s">
        <v>241</v>
      </c>
      <c r="C101" s="2" t="s">
        <v>219</v>
      </c>
      <c r="D101" s="2" t="s">
        <v>29</v>
      </c>
      <c r="E101" s="2" t="s">
        <v>30</v>
      </c>
      <c r="F101" s="2" t="n">
        <v>2.068</v>
      </c>
      <c r="G101" s="2" t="n">
        <v>62.04</v>
      </c>
      <c r="H101" s="2" t="n">
        <v>0.186</v>
      </c>
    </row>
    <row r="102" customFormat="false" ht="15" hidden="false" customHeight="false" outlineLevel="0" collapsed="false">
      <c r="A102" s="2" t="s">
        <v>242</v>
      </c>
      <c r="B102" s="2" t="s">
        <v>243</v>
      </c>
      <c r="C102" s="2" t="s">
        <v>219</v>
      </c>
      <c r="D102" s="2" t="s">
        <v>47</v>
      </c>
      <c r="E102" s="2" t="s">
        <v>30</v>
      </c>
      <c r="F102" s="2" t="n">
        <v>2.073</v>
      </c>
      <c r="G102" s="2" t="n">
        <v>62.19</v>
      </c>
      <c r="H102" s="2" t="n">
        <v>0.122</v>
      </c>
    </row>
    <row r="103" customFormat="false" ht="15" hidden="false" customHeight="false" outlineLevel="0" collapsed="false">
      <c r="A103" s="2" t="s">
        <v>244</v>
      </c>
      <c r="B103" s="2" t="s">
        <v>245</v>
      </c>
      <c r="C103" s="2" t="s">
        <v>219</v>
      </c>
      <c r="D103" s="2" t="s">
        <v>47</v>
      </c>
      <c r="E103" s="2" t="s">
        <v>30</v>
      </c>
      <c r="F103" s="2" t="n">
        <v>2.101</v>
      </c>
      <c r="G103" s="2" t="n">
        <v>63.03</v>
      </c>
      <c r="H103" s="2" t="n">
        <v>0.13</v>
      </c>
    </row>
    <row r="104" customFormat="false" ht="15" hidden="false" customHeight="false" outlineLevel="0" collapsed="false">
      <c r="A104" s="2" t="s">
        <v>246</v>
      </c>
      <c r="B104" s="2" t="s">
        <v>247</v>
      </c>
      <c r="C104" s="2" t="s">
        <v>219</v>
      </c>
      <c r="D104" s="2" t="s">
        <v>47</v>
      </c>
      <c r="E104" s="2" t="s">
        <v>30</v>
      </c>
      <c r="F104" s="2" t="n">
        <v>2.032</v>
      </c>
      <c r="G104" s="2" t="n">
        <v>60.96</v>
      </c>
      <c r="H104" s="2" t="n">
        <v>0.177</v>
      </c>
    </row>
    <row r="105" customFormat="false" ht="15" hidden="false" customHeight="false" outlineLevel="0" collapsed="false">
      <c r="A105" s="2" t="s">
        <v>248</v>
      </c>
      <c r="B105" s="2" t="s">
        <v>249</v>
      </c>
      <c r="C105" s="2" t="s">
        <v>219</v>
      </c>
      <c r="D105" s="2" t="s">
        <v>47</v>
      </c>
      <c r="E105" s="2" t="s">
        <v>30</v>
      </c>
      <c r="F105" s="2" t="n">
        <v>2.059</v>
      </c>
      <c r="G105" s="2" t="n">
        <v>61.77</v>
      </c>
      <c r="H105" s="2" t="n">
        <v>0.184</v>
      </c>
    </row>
    <row r="106" customFormat="false" ht="15" hidden="false" customHeight="false" outlineLevel="0" collapsed="false">
      <c r="A106" s="2" t="s">
        <v>250</v>
      </c>
      <c r="B106" s="2" t="s">
        <v>251</v>
      </c>
      <c r="C106" s="2" t="s">
        <v>219</v>
      </c>
      <c r="D106" s="2" t="s">
        <v>47</v>
      </c>
      <c r="E106" s="2" t="s">
        <v>30</v>
      </c>
      <c r="F106" s="2" t="n">
        <v>2.04</v>
      </c>
      <c r="G106" s="2" t="n">
        <v>61.2</v>
      </c>
      <c r="H106" s="2" t="n">
        <v>0.14</v>
      </c>
    </row>
    <row r="107" customFormat="false" ht="15" hidden="false" customHeight="false" outlineLevel="0" collapsed="false">
      <c r="A107" s="2" t="s">
        <v>252</v>
      </c>
      <c r="B107" s="2" t="s">
        <v>253</v>
      </c>
      <c r="C107" s="2" t="s">
        <v>219</v>
      </c>
      <c r="D107" s="2" t="s">
        <v>47</v>
      </c>
      <c r="E107" s="2" t="s">
        <v>30</v>
      </c>
      <c r="F107" s="2" t="n">
        <v>2.051</v>
      </c>
      <c r="G107" s="2" t="n">
        <v>61.53</v>
      </c>
      <c r="H107" s="2" t="n">
        <v>0.158</v>
      </c>
    </row>
    <row r="108" customFormat="false" ht="15" hidden="false" customHeight="false" outlineLevel="0" collapsed="false">
      <c r="A108" s="2" t="s">
        <v>254</v>
      </c>
      <c r="B108" s="2" t="s">
        <v>255</v>
      </c>
      <c r="C108" s="2" t="s">
        <v>219</v>
      </c>
      <c r="D108" s="2" t="s">
        <v>29</v>
      </c>
      <c r="E108" s="2" t="s">
        <v>30</v>
      </c>
      <c r="F108" s="2" t="n">
        <v>2.081</v>
      </c>
      <c r="G108" s="2" t="n">
        <v>62.43</v>
      </c>
      <c r="H108" s="2" t="n">
        <v>0.17</v>
      </c>
    </row>
    <row r="109" customFormat="false" ht="15" hidden="false" customHeight="false" outlineLevel="0" collapsed="false">
      <c r="A109" s="2" t="s">
        <v>256</v>
      </c>
      <c r="B109" s="2" t="s">
        <v>257</v>
      </c>
      <c r="C109" s="2" t="s">
        <v>219</v>
      </c>
      <c r="D109" s="2" t="s">
        <v>29</v>
      </c>
      <c r="E109" s="2" t="s">
        <v>30</v>
      </c>
      <c r="F109" s="2" t="n">
        <v>2.084</v>
      </c>
      <c r="G109" s="2" t="n">
        <v>62.52</v>
      </c>
      <c r="H109" s="2" t="n">
        <v>0.192</v>
      </c>
    </row>
    <row r="110" customFormat="false" ht="15" hidden="false" customHeight="false" outlineLevel="0" collapsed="false">
      <c r="A110" s="2" t="s">
        <v>258</v>
      </c>
      <c r="B110" s="2" t="s">
        <v>259</v>
      </c>
      <c r="C110" s="2" t="s">
        <v>219</v>
      </c>
      <c r="D110" s="2" t="s">
        <v>29</v>
      </c>
      <c r="E110" s="2" t="s">
        <v>30</v>
      </c>
      <c r="F110" s="2" t="n">
        <v>2.037</v>
      </c>
      <c r="G110" s="2" t="n">
        <v>61.11</v>
      </c>
      <c r="H110" s="2" t="n">
        <v>0.178</v>
      </c>
    </row>
    <row r="111" customFormat="false" ht="15" hidden="false" customHeight="false" outlineLevel="0" collapsed="false">
      <c r="A111" s="2" t="s">
        <v>260</v>
      </c>
      <c r="B111" s="2" t="s">
        <v>261</v>
      </c>
      <c r="C111" s="2" t="s">
        <v>219</v>
      </c>
      <c r="D111" s="2" t="s">
        <v>29</v>
      </c>
      <c r="E111" s="2" t="s">
        <v>30</v>
      </c>
      <c r="F111" s="2" t="n">
        <v>2.05</v>
      </c>
      <c r="G111" s="2" t="n">
        <v>61.5</v>
      </c>
      <c r="H111" s="2" t="n">
        <v>0.169</v>
      </c>
    </row>
    <row r="112" customFormat="false" ht="15" hidden="false" customHeight="false" outlineLevel="0" collapsed="false">
      <c r="A112" s="2" t="s">
        <v>262</v>
      </c>
      <c r="B112" s="2" t="s">
        <v>263</v>
      </c>
      <c r="C112" s="2" t="s">
        <v>219</v>
      </c>
      <c r="D112" s="2" t="s">
        <v>29</v>
      </c>
      <c r="E112" s="2" t="s">
        <v>30</v>
      </c>
      <c r="F112" s="2" t="n">
        <v>2.091</v>
      </c>
      <c r="G112" s="2" t="n">
        <v>62.73</v>
      </c>
      <c r="H112" s="2" t="n">
        <v>0.131</v>
      </c>
    </row>
    <row r="113" customFormat="false" ht="15" hidden="false" customHeight="false" outlineLevel="0" collapsed="false">
      <c r="A113" s="2" t="s">
        <v>264</v>
      </c>
      <c r="B113" s="2" t="s">
        <v>265</v>
      </c>
      <c r="C113" s="2" t="s">
        <v>219</v>
      </c>
      <c r="D113" s="2" t="s">
        <v>29</v>
      </c>
      <c r="E113" s="2" t="s">
        <v>30</v>
      </c>
      <c r="F113" s="2" t="n">
        <v>2.041</v>
      </c>
      <c r="G113" s="2" t="n">
        <v>61.23</v>
      </c>
      <c r="H113" s="2" t="n">
        <v>0.175</v>
      </c>
    </row>
    <row r="114" customFormat="false" ht="15" hidden="false" customHeight="false" outlineLevel="0" collapsed="false">
      <c r="A114" s="2" t="s">
        <v>266</v>
      </c>
      <c r="B114" s="2" t="s">
        <v>267</v>
      </c>
      <c r="C114" s="2" t="s">
        <v>219</v>
      </c>
      <c r="D114" s="2" t="s">
        <v>47</v>
      </c>
      <c r="E114" s="2" t="s">
        <v>30</v>
      </c>
      <c r="F114" s="2" t="n">
        <v>2.104</v>
      </c>
      <c r="G114" s="2" t="n">
        <v>63.12</v>
      </c>
      <c r="H114" s="2" t="n">
        <v>0.132</v>
      </c>
    </row>
    <row r="115" customFormat="false" ht="15" hidden="false" customHeight="false" outlineLevel="0" collapsed="false">
      <c r="A115" s="2" t="s">
        <v>268</v>
      </c>
      <c r="B115" s="2" t="s">
        <v>269</v>
      </c>
      <c r="C115" s="2" t="s">
        <v>219</v>
      </c>
      <c r="D115" s="2" t="s">
        <v>47</v>
      </c>
      <c r="E115" s="2" t="s">
        <v>30</v>
      </c>
      <c r="F115" s="2" t="n">
        <v>2.096</v>
      </c>
      <c r="G115" s="2" t="n">
        <v>62.88</v>
      </c>
      <c r="H115" s="2" t="n">
        <v>0.147</v>
      </c>
    </row>
    <row r="116" customFormat="false" ht="15" hidden="false" customHeight="false" outlineLevel="0" collapsed="false">
      <c r="A116" s="2" t="s">
        <v>270</v>
      </c>
      <c r="B116" s="2" t="s">
        <v>271</v>
      </c>
      <c r="C116" s="2" t="s">
        <v>219</v>
      </c>
      <c r="D116" s="2" t="s">
        <v>47</v>
      </c>
      <c r="E116" s="2" t="s">
        <v>30</v>
      </c>
      <c r="F116" s="2" t="n">
        <v>2.084</v>
      </c>
      <c r="G116" s="2" t="n">
        <v>62.52</v>
      </c>
      <c r="H116" s="2" t="n">
        <v>0.159</v>
      </c>
    </row>
    <row r="117" customFormat="false" ht="15" hidden="false" customHeight="false" outlineLevel="0" collapsed="false">
      <c r="A117" s="2" t="s">
        <v>272</v>
      </c>
      <c r="B117" s="2" t="s">
        <v>273</v>
      </c>
      <c r="C117" s="2" t="s">
        <v>219</v>
      </c>
      <c r="D117" s="2" t="s">
        <v>47</v>
      </c>
      <c r="E117" s="2" t="s">
        <v>30</v>
      </c>
      <c r="F117" s="2" t="n">
        <v>2.067</v>
      </c>
      <c r="G117" s="2" t="n">
        <v>62.01</v>
      </c>
      <c r="H117" s="2" t="n">
        <v>0.144</v>
      </c>
    </row>
    <row r="118" customFormat="false" ht="15" hidden="false" customHeight="false" outlineLevel="0" collapsed="false">
      <c r="A118" s="2" t="s">
        <v>274</v>
      </c>
      <c r="B118" s="2" t="s">
        <v>275</v>
      </c>
      <c r="C118" s="2" t="s">
        <v>219</v>
      </c>
      <c r="D118" s="2" t="s">
        <v>47</v>
      </c>
      <c r="E118" s="2" t="s">
        <v>30</v>
      </c>
      <c r="F118" s="2" t="n">
        <v>2.075</v>
      </c>
      <c r="G118" s="2" t="n">
        <v>62.25</v>
      </c>
      <c r="H118" s="2" t="n">
        <v>0.14</v>
      </c>
    </row>
    <row r="119" customFormat="false" ht="15" hidden="false" customHeight="false" outlineLevel="0" collapsed="false">
      <c r="A119" s="2" t="s">
        <v>276</v>
      </c>
      <c r="B119" s="2" t="s">
        <v>277</v>
      </c>
      <c r="C119" s="2" t="s">
        <v>219</v>
      </c>
      <c r="D119" s="2" t="s">
        <v>47</v>
      </c>
      <c r="E119" s="2" t="s">
        <v>30</v>
      </c>
      <c r="F119" s="2" t="n">
        <v>2.029</v>
      </c>
      <c r="G119" s="2" t="n">
        <v>60.87</v>
      </c>
      <c r="H119" s="2" t="n">
        <v>0.147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3" min="1" style="0" width="16"/>
    <col collapsed="false" customWidth="true" hidden="false" outlineLevel="0" max="4" min="4" style="0" width="26"/>
    <col collapsed="false" customWidth="true" hidden="false" outlineLevel="0" max="5" min="5" style="0" width="18"/>
    <col collapsed="false" customWidth="true" hidden="false" outlineLevel="0" max="6" min="6" style="0" width="45"/>
  </cols>
  <sheetData>
    <row r="1" customFormat="false" ht="30" hidden="false" customHeight="true" outlineLevel="0" collapsed="false">
      <c r="A1" s="1" t="s">
        <v>279</v>
      </c>
      <c r="B1" s="1" t="s">
        <v>280</v>
      </c>
      <c r="C1" s="1" t="s">
        <v>281</v>
      </c>
      <c r="D1" s="1" t="s">
        <v>282</v>
      </c>
      <c r="E1" s="1" t="s">
        <v>283</v>
      </c>
      <c r="F1" s="1" t="s">
        <v>284</v>
      </c>
    </row>
    <row r="2" customFormat="false" ht="84.75" hidden="false" customHeight="true" outlineLevel="0" collapsed="false">
      <c r="A2" s="2" t="s">
        <v>285</v>
      </c>
      <c r="B2" s="2" t="s">
        <v>286</v>
      </c>
      <c r="C2" s="2" t="n">
        <v>2</v>
      </c>
      <c r="D2" s="2" t="s">
        <v>287</v>
      </c>
      <c r="E2" s="2" t="s">
        <v>288</v>
      </c>
      <c r="F2" s="2" t="s">
        <v>289</v>
      </c>
    </row>
    <row r="3" customFormat="false" ht="84.75" hidden="false" customHeight="true" outlineLevel="0" collapsed="false">
      <c r="A3" s="2" t="s">
        <v>285</v>
      </c>
      <c r="B3" s="2" t="s">
        <v>286</v>
      </c>
      <c r="C3" s="2" t="n">
        <v>1</v>
      </c>
      <c r="D3" s="2" t="s">
        <v>290</v>
      </c>
      <c r="E3" s="2" t="s">
        <v>291</v>
      </c>
      <c r="F3" s="2" t="s">
        <v>292</v>
      </c>
    </row>
    <row r="4" customFormat="false" ht="84.75" hidden="false" customHeight="true" outlineLevel="0" collapsed="false">
      <c r="A4" s="2" t="s">
        <v>34</v>
      </c>
      <c r="B4" s="2" t="s">
        <v>293</v>
      </c>
      <c r="C4" s="2" t="n">
        <v>1</v>
      </c>
      <c r="D4" s="2" t="s">
        <v>287</v>
      </c>
      <c r="E4" s="2" t="s">
        <v>294</v>
      </c>
      <c r="F4" s="2" t="s">
        <v>295</v>
      </c>
    </row>
    <row r="5" customFormat="false" ht="84.75" hidden="false" customHeight="true" outlineLevel="0" collapsed="false">
      <c r="A5" s="2" t="s">
        <v>296</v>
      </c>
      <c r="B5" s="2" t="s">
        <v>297</v>
      </c>
      <c r="C5" s="2" t="n">
        <v>1</v>
      </c>
      <c r="D5" s="2" t="s">
        <v>181</v>
      </c>
      <c r="E5" s="2" t="s">
        <v>298</v>
      </c>
      <c r="F5" s="2" t="s">
        <v>299</v>
      </c>
    </row>
    <row r="6" customFormat="false" ht="84.75" hidden="false" customHeight="true" outlineLevel="0" collapsed="false">
      <c r="A6" s="2" t="s">
        <v>300</v>
      </c>
      <c r="B6" s="2" t="s">
        <v>301</v>
      </c>
      <c r="C6" s="2" t="n">
        <v>1</v>
      </c>
      <c r="D6" s="2" t="s">
        <v>302</v>
      </c>
      <c r="E6" s="2" t="s">
        <v>303</v>
      </c>
      <c r="F6" s="2" t="s">
        <v>304</v>
      </c>
    </row>
    <row r="7" customFormat="false" ht="84.75" hidden="false" customHeight="true" outlineLevel="0" collapsed="false">
      <c r="A7" s="2" t="s">
        <v>305</v>
      </c>
      <c r="B7" s="2" t="s">
        <v>306</v>
      </c>
      <c r="C7" s="2" t="n">
        <v>1</v>
      </c>
      <c r="D7" s="2" t="s">
        <v>307</v>
      </c>
      <c r="E7" s="2" t="s">
        <v>308</v>
      </c>
      <c r="F7" s="2" t="s">
        <v>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5"/>
    <col collapsed="false" customWidth="true" hidden="false" outlineLevel="0" max="3" min="3" style="0" width="22"/>
    <col collapsed="false" customWidth="true" hidden="false" outlineLevel="0" max="4" min="4" style="0" width="33"/>
    <col collapsed="false" customWidth="true" hidden="false" outlineLevel="0" max="5" min="5" style="0" width="31"/>
    <col collapsed="false" customWidth="true" hidden="false" outlineLevel="0" max="6" min="6" style="0" width="32"/>
    <col collapsed="false" customWidth="true" hidden="false" outlineLevel="0" max="7" min="7" style="0" width="45"/>
    <col collapsed="false" customWidth="true" hidden="false" outlineLevel="0" max="10" min="8" style="0" width="16"/>
    <col collapsed="false" customWidth="true" hidden="false" outlineLevel="0" max="11" min="11" style="0" width="45"/>
    <col collapsed="false" customWidth="true" hidden="false" outlineLevel="0" max="12" min="12" style="0" width="21"/>
  </cols>
  <sheetData>
    <row r="1" customFormat="false" ht="30" hidden="false" customHeight="true" outlineLevel="0" collapsed="false">
      <c r="A1" s="1" t="s">
        <v>310</v>
      </c>
      <c r="B1" s="1" t="s">
        <v>311</v>
      </c>
      <c r="C1" s="1" t="s">
        <v>312</v>
      </c>
      <c r="D1" s="1" t="s">
        <v>313</v>
      </c>
      <c r="E1" s="1" t="s">
        <v>314</v>
      </c>
      <c r="F1" s="1" t="s">
        <v>315</v>
      </c>
      <c r="G1" s="1" t="s">
        <v>316</v>
      </c>
      <c r="H1" s="1" t="s">
        <v>317</v>
      </c>
      <c r="I1" s="1" t="s">
        <v>318</v>
      </c>
      <c r="J1" s="1" t="s">
        <v>319</v>
      </c>
      <c r="K1" s="1" t="s">
        <v>320</v>
      </c>
      <c r="L1" s="1" t="s">
        <v>321</v>
      </c>
    </row>
    <row r="2" customFormat="false" ht="84.75" hidden="false" customHeight="true" outlineLevel="0" collapsed="false">
      <c r="A2" s="2" t="s">
        <v>322</v>
      </c>
      <c r="B2" s="2" t="s">
        <v>323</v>
      </c>
      <c r="C2" s="2" t="s">
        <v>324</v>
      </c>
      <c r="D2" s="2" t="s">
        <v>325</v>
      </c>
      <c r="E2" s="2" t="s">
        <v>326</v>
      </c>
      <c r="F2" s="2" t="s">
        <v>327</v>
      </c>
      <c r="G2" s="2" t="s">
        <v>328</v>
      </c>
      <c r="H2" s="2" t="n">
        <v>7</v>
      </c>
      <c r="I2" s="2" t="n">
        <v>5</v>
      </c>
      <c r="J2" s="2" t="n">
        <v>4</v>
      </c>
      <c r="K2" s="2" t="s">
        <v>329</v>
      </c>
      <c r="L2" s="2" t="s">
        <v>330</v>
      </c>
    </row>
    <row r="3" customFormat="false" ht="84.75" hidden="false" customHeight="true" outlineLevel="0" collapsed="false">
      <c r="A3" s="2" t="s">
        <v>331</v>
      </c>
      <c r="B3" s="2" t="s">
        <v>323</v>
      </c>
      <c r="C3" s="2" t="s">
        <v>332</v>
      </c>
      <c r="D3" s="2" t="s">
        <v>333</v>
      </c>
      <c r="E3" s="2" t="s">
        <v>334</v>
      </c>
      <c r="F3" s="2" t="s">
        <v>335</v>
      </c>
      <c r="G3" s="2" t="s">
        <v>336</v>
      </c>
      <c r="H3" s="2" t="n">
        <v>7</v>
      </c>
      <c r="I3" s="2" t="n">
        <v>2</v>
      </c>
      <c r="J3" s="2" t="n">
        <v>5</v>
      </c>
      <c r="K3" s="2" t="s">
        <v>337</v>
      </c>
      <c r="L3" s="2" t="s">
        <v>338</v>
      </c>
    </row>
    <row r="4" customFormat="false" ht="84.75" hidden="false" customHeight="true" outlineLevel="0" collapsed="false">
      <c r="A4" s="2" t="s">
        <v>339</v>
      </c>
      <c r="B4" s="2" t="s">
        <v>340</v>
      </c>
      <c r="C4" s="2" t="s">
        <v>341</v>
      </c>
      <c r="D4" s="2" t="s">
        <v>342</v>
      </c>
      <c r="E4" s="2" t="s">
        <v>343</v>
      </c>
      <c r="F4" s="2" t="s">
        <v>344</v>
      </c>
      <c r="G4" s="2" t="s">
        <v>345</v>
      </c>
      <c r="H4" s="2" t="n">
        <v>6</v>
      </c>
      <c r="I4" s="2" t="n">
        <v>3</v>
      </c>
      <c r="J4" s="2" t="n">
        <v>6</v>
      </c>
      <c r="K4" s="2" t="s">
        <v>346</v>
      </c>
      <c r="L4" s="2" t="s">
        <v>347</v>
      </c>
    </row>
    <row r="5" customFormat="false" ht="84.75" hidden="false" customHeight="true" outlineLevel="0" collapsed="false">
      <c r="A5" s="2" t="s">
        <v>348</v>
      </c>
      <c r="B5" s="2" t="s">
        <v>349</v>
      </c>
      <c r="C5" s="2" t="s">
        <v>350</v>
      </c>
      <c r="D5" s="2" t="s">
        <v>351</v>
      </c>
      <c r="E5" s="2" t="s">
        <v>352</v>
      </c>
      <c r="F5" s="2" t="s">
        <v>353</v>
      </c>
      <c r="G5" s="2" t="s">
        <v>354</v>
      </c>
      <c r="H5" s="2" t="n">
        <v>9</v>
      </c>
      <c r="I5" s="2" t="n">
        <v>2</v>
      </c>
      <c r="J5" s="2" t="n">
        <v>5</v>
      </c>
      <c r="K5" s="2" t="s">
        <v>355</v>
      </c>
      <c r="L5" s="2" t="s">
        <v>356</v>
      </c>
    </row>
    <row r="6" customFormat="false" ht="84.75" hidden="false" customHeight="true" outlineLevel="0" collapsed="false">
      <c r="A6" s="2" t="s">
        <v>357</v>
      </c>
      <c r="B6" s="2" t="s">
        <v>358</v>
      </c>
      <c r="C6" s="2" t="s">
        <v>359</v>
      </c>
      <c r="D6" s="2" t="s">
        <v>360</v>
      </c>
      <c r="E6" s="2" t="s">
        <v>361</v>
      </c>
      <c r="F6" s="2" t="s">
        <v>362</v>
      </c>
      <c r="G6" s="2" t="s">
        <v>200</v>
      </c>
      <c r="H6" s="2" t="n">
        <v>4</v>
      </c>
      <c r="I6" s="2" t="n">
        <v>4</v>
      </c>
      <c r="J6" s="2" t="n">
        <v>3</v>
      </c>
      <c r="K6" s="2" t="s">
        <v>363</v>
      </c>
      <c r="L6" s="2" t="s">
        <v>364</v>
      </c>
    </row>
    <row r="7" customFormat="false" ht="84.75" hidden="false" customHeight="true" outlineLevel="0" collapsed="false">
      <c r="A7" s="2" t="s">
        <v>365</v>
      </c>
      <c r="B7" s="2" t="s">
        <v>366</v>
      </c>
      <c r="C7" s="2" t="s">
        <v>367</v>
      </c>
      <c r="D7" s="2" t="s">
        <v>368</v>
      </c>
      <c r="E7" s="2" t="s">
        <v>369</v>
      </c>
      <c r="F7" s="2" t="s">
        <v>370</v>
      </c>
      <c r="G7" s="2" t="s">
        <v>371</v>
      </c>
      <c r="H7" s="2" t="n">
        <v>4</v>
      </c>
      <c r="I7" s="2" t="n">
        <v>4</v>
      </c>
      <c r="J7" s="2" t="n">
        <v>2</v>
      </c>
      <c r="K7" s="2" t="s">
        <v>372</v>
      </c>
      <c r="L7" s="2" t="s">
        <v>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19"/>
    <col collapsed="false" customWidth="true" hidden="false" outlineLevel="0" max="4" min="4" style="0" width="16"/>
    <col collapsed="false" customWidth="true" hidden="false" outlineLevel="0" max="5" min="5" style="0" width="45"/>
  </cols>
  <sheetData>
    <row r="1" customFormat="false" ht="30" hidden="false" customHeight="true" outlineLevel="0" collapsed="false">
      <c r="A1" s="1" t="s">
        <v>374</v>
      </c>
      <c r="B1" s="1" t="s">
        <v>14</v>
      </c>
      <c r="C1" s="1" t="s">
        <v>375</v>
      </c>
      <c r="D1" s="1" t="s">
        <v>376</v>
      </c>
      <c r="E1" s="1" t="s">
        <v>377</v>
      </c>
    </row>
    <row r="2" customFormat="false" ht="48" hidden="false" customHeight="true" outlineLevel="0" collapsed="false">
      <c r="A2" s="2" t="s">
        <v>378</v>
      </c>
      <c r="B2" s="2" t="s">
        <v>28</v>
      </c>
      <c r="C2" s="2" t="n">
        <v>168</v>
      </c>
      <c r="D2" s="2" t="n">
        <v>14</v>
      </c>
      <c r="E2" s="2" t="s">
        <v>379</v>
      </c>
    </row>
    <row r="3" customFormat="false" ht="48" hidden="false" customHeight="true" outlineLevel="0" collapsed="false">
      <c r="A3" s="2" t="s">
        <v>380</v>
      </c>
      <c r="B3" s="2" t="s">
        <v>28</v>
      </c>
      <c r="C3" s="2" t="n">
        <v>168</v>
      </c>
      <c r="D3" s="2" t="n">
        <v>16</v>
      </c>
      <c r="E3" s="2" t="s">
        <v>379</v>
      </c>
    </row>
    <row r="4" customFormat="false" ht="48" hidden="false" customHeight="true" outlineLevel="0" collapsed="false">
      <c r="A4" s="2" t="s">
        <v>381</v>
      </c>
      <c r="B4" s="2" t="s">
        <v>28</v>
      </c>
      <c r="C4" s="2" t="n">
        <v>168</v>
      </c>
      <c r="D4" s="2" t="n">
        <v>13</v>
      </c>
      <c r="E4" s="2" t="s">
        <v>379</v>
      </c>
    </row>
    <row r="5" customFormat="false" ht="48" hidden="false" customHeight="true" outlineLevel="0" collapsed="false">
      <c r="A5" s="2" t="s">
        <v>382</v>
      </c>
      <c r="B5" s="2" t="s">
        <v>28</v>
      </c>
      <c r="C5" s="2" t="n">
        <v>168</v>
      </c>
      <c r="D5" s="2" t="n">
        <v>18</v>
      </c>
      <c r="E5" s="2" t="s">
        <v>379</v>
      </c>
    </row>
    <row r="6" customFormat="false" ht="48" hidden="false" customHeight="true" outlineLevel="0" collapsed="false">
      <c r="A6" s="2" t="s">
        <v>383</v>
      </c>
      <c r="B6" s="2" t="s">
        <v>28</v>
      </c>
      <c r="C6" s="2" t="n">
        <v>168</v>
      </c>
      <c r="D6" s="2" t="n">
        <v>15</v>
      </c>
      <c r="E6" s="2" t="s">
        <v>379</v>
      </c>
    </row>
    <row r="7" customFormat="false" ht="48" hidden="false" customHeight="true" outlineLevel="0" collapsed="false">
      <c r="A7" s="2" t="s">
        <v>384</v>
      </c>
      <c r="B7" s="2" t="s">
        <v>28</v>
      </c>
      <c r="C7" s="2" t="n">
        <v>168</v>
      </c>
      <c r="D7" s="2" t="n">
        <v>17</v>
      </c>
      <c r="E7" s="2" t="s">
        <v>379</v>
      </c>
    </row>
    <row r="8" customFormat="false" ht="48" hidden="false" customHeight="true" outlineLevel="0" collapsed="false">
      <c r="A8" s="2" t="s">
        <v>385</v>
      </c>
      <c r="B8" s="2" t="s">
        <v>219</v>
      </c>
      <c r="C8" s="2" t="n">
        <v>168</v>
      </c>
      <c r="D8" s="2" t="n">
        <v>6</v>
      </c>
      <c r="E8" s="2" t="s">
        <v>379</v>
      </c>
    </row>
    <row r="9" customFormat="false" ht="48" hidden="false" customHeight="true" outlineLevel="0" collapsed="false">
      <c r="A9" s="2" t="s">
        <v>386</v>
      </c>
      <c r="B9" s="2" t="s">
        <v>219</v>
      </c>
      <c r="C9" s="2" t="n">
        <v>168</v>
      </c>
      <c r="D9" s="2" t="n">
        <v>5</v>
      </c>
      <c r="E9" s="2"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7"/>
    <col collapsed="false" customWidth="true" hidden="false" outlineLevel="0" max="2" min="2" style="0" width="16"/>
    <col collapsed="false" customWidth="true" hidden="false" outlineLevel="0" max="3" min="3" style="0" width="41"/>
  </cols>
  <sheetData>
    <row r="1" customFormat="false" ht="30" hidden="false" customHeight="true" outlineLevel="0" collapsed="false">
      <c r="A1" s="1" t="s">
        <v>387</v>
      </c>
      <c r="B1" s="1" t="s">
        <v>388</v>
      </c>
      <c r="C1" s="1" t="s">
        <v>389</v>
      </c>
    </row>
    <row r="2" customFormat="false" ht="48" hidden="false" customHeight="true" outlineLevel="0" collapsed="false">
      <c r="A2" s="2" t="s">
        <v>324</v>
      </c>
      <c r="B2" s="2" t="n">
        <v>55</v>
      </c>
      <c r="C2" s="2" t="s">
        <v>390</v>
      </c>
    </row>
    <row r="3" customFormat="false" ht="48" hidden="false" customHeight="true" outlineLevel="0" collapsed="false">
      <c r="A3" s="2" t="s">
        <v>391</v>
      </c>
      <c r="B3" s="2" t="n">
        <v>16</v>
      </c>
      <c r="C3" s="2" t="s">
        <v>392</v>
      </c>
    </row>
    <row r="4" customFormat="false" ht="48" hidden="false" customHeight="true" outlineLevel="0" collapsed="false">
      <c r="A4" s="2" t="s">
        <v>393</v>
      </c>
      <c r="B4" s="2" t="n">
        <v>12</v>
      </c>
      <c r="C4" s="2" t="s">
        <v>394</v>
      </c>
    </row>
    <row r="5" customFormat="false" ht="48" hidden="false" customHeight="true" outlineLevel="0" collapsed="false">
      <c r="A5" s="2" t="s">
        <v>395</v>
      </c>
      <c r="B5" s="2" t="n">
        <v>10</v>
      </c>
      <c r="C5" s="2" t="s">
        <v>396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44"/>
  </cols>
  <sheetData>
    <row r="1" customFormat="false" ht="30" hidden="false" customHeight="true" outlineLevel="0" collapsed="false">
      <c r="A1" s="1" t="s">
        <v>397</v>
      </c>
      <c r="B1" s="1" t="s">
        <v>398</v>
      </c>
      <c r="C1" s="1" t="s">
        <v>399</v>
      </c>
    </row>
    <row r="2" customFormat="false" ht="48" hidden="false" customHeight="true" outlineLevel="0" collapsed="false">
      <c r="A2" s="2" t="s">
        <v>21</v>
      </c>
      <c r="B2" s="2" t="n">
        <v>120</v>
      </c>
      <c r="C2" s="2" t="s">
        <v>400</v>
      </c>
    </row>
    <row r="3" customFormat="false" ht="48" hidden="false" customHeight="true" outlineLevel="0" collapsed="false">
      <c r="A3" s="2" t="s">
        <v>401</v>
      </c>
      <c r="B3" s="2" t="n">
        <v>62</v>
      </c>
      <c r="C3" s="2" t="s">
        <v>402</v>
      </c>
    </row>
    <row r="4" customFormat="false" ht="48" hidden="false" customHeight="true" outlineLevel="0" collapsed="false">
      <c r="A4" s="2" t="s">
        <v>403</v>
      </c>
      <c r="B4" s="2" t="n">
        <v>58.9</v>
      </c>
      <c r="C4" s="2" t="s">
        <v>402</v>
      </c>
    </row>
    <row r="5" customFormat="false" ht="48" hidden="false" customHeight="true" outlineLevel="0" collapsed="false">
      <c r="A5" s="2" t="s">
        <v>404</v>
      </c>
      <c r="B5" s="2" t="n">
        <v>65.1</v>
      </c>
      <c r="C5" s="2" t="s">
        <v>402</v>
      </c>
    </row>
    <row r="6" customFormat="false" ht="48" hidden="false" customHeight="true" outlineLevel="0" collapsed="false">
      <c r="A6" s="2" t="s">
        <v>405</v>
      </c>
      <c r="B6" s="2" t="n">
        <v>1.128</v>
      </c>
      <c r="C6" s="2" t="s">
        <v>406</v>
      </c>
    </row>
    <row r="7" customFormat="false" ht="48" hidden="false" customHeight="true" outlineLevel="0" collapsed="false">
      <c r="A7" s="2" t="s">
        <v>407</v>
      </c>
      <c r="B7" s="2" t="n">
        <v>60</v>
      </c>
      <c r="C7" s="2" t="s">
        <v>408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20"/>
    <col collapsed="false" customWidth="true" hidden="false" outlineLevel="0" max="2" min="2" style="0" width="100"/>
  </cols>
  <sheetData>
    <row r="1" customFormat="false" ht="30" hidden="false" customHeight="true" outlineLevel="0" collapsed="false">
      <c r="A1" s="1" t="s">
        <v>409</v>
      </c>
      <c r="B1" s="1"/>
    </row>
    <row r="2" customFormat="false" ht="270" hidden="false" customHeight="true" outlineLevel="0" collapsed="false">
      <c r="A2" s="2" t="s">
        <v>410</v>
      </c>
      <c r="B2" s="2"/>
    </row>
    <row r="3" customFormat="false" ht="48" hidden="false" customHeight="true" outlineLevel="0" collapsed="false">
      <c r="A3" s="2" t="s">
        <v>411</v>
      </c>
      <c r="B3" s="2" t="s">
        <v>412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5"/>
    <col collapsed="false" customWidth="true" hidden="false" outlineLevel="0" max="3" min="3" style="0" width="110"/>
  </cols>
  <sheetData>
    <row r="1" customFormat="false" ht="30" hidden="false" customHeight="true" outlineLevel="0" collapsed="false">
      <c r="A1" s="1" t="s">
        <v>413</v>
      </c>
      <c r="B1" s="1" t="s">
        <v>414</v>
      </c>
      <c r="C1" s="1" t="s">
        <v>415</v>
      </c>
    </row>
    <row r="2" customFormat="false" ht="94.5" hidden="false" customHeight="true" outlineLevel="0" collapsed="false">
      <c r="A2" s="2" t="s">
        <v>416</v>
      </c>
      <c r="B2" s="2" t="s">
        <v>417</v>
      </c>
      <c r="C2" s="2" t="s">
        <v>418</v>
      </c>
    </row>
    <row r="3" customFormat="false" ht="94.5" hidden="false" customHeight="true" outlineLevel="0" collapsed="false">
      <c r="A3" s="2" t="s">
        <v>419</v>
      </c>
      <c r="B3" s="2" t="s">
        <v>420</v>
      </c>
      <c r="C3" s="2" t="s">
        <v>421</v>
      </c>
    </row>
    <row r="4" customFormat="false" ht="94.5" hidden="false" customHeight="true" outlineLevel="0" collapsed="false">
      <c r="A4" s="2" t="s">
        <v>422</v>
      </c>
      <c r="B4" s="2" t="s">
        <v>423</v>
      </c>
      <c r="C4" s="2" t="s">
        <v>424</v>
      </c>
    </row>
    <row r="5" customFormat="false" ht="94.5" hidden="false" customHeight="true" outlineLevel="0" collapsed="false">
      <c r="A5" s="2" t="s">
        <v>425</v>
      </c>
      <c r="B5" s="2" t="s">
        <v>426</v>
      </c>
      <c r="C5" s="2" t="s">
        <v>427</v>
      </c>
    </row>
    <row r="6" customFormat="false" ht="94.5" hidden="false" customHeight="true" outlineLevel="0" collapsed="false">
      <c r="A6" s="2" t="s">
        <v>428</v>
      </c>
      <c r="B6" s="2" t="s">
        <v>429</v>
      </c>
      <c r="C6" s="2" t="s">
        <v>430</v>
      </c>
    </row>
    <row r="7" customFormat="false" ht="94.5" hidden="false" customHeight="true" outlineLevel="0" collapsed="false">
      <c r="A7" s="2" t="s">
        <v>431</v>
      </c>
      <c r="B7" s="2" t="s">
        <v>432</v>
      </c>
      <c r="C7" s="2" t="s">
        <v>433</v>
      </c>
    </row>
    <row r="8" customFormat="false" ht="94.5" hidden="false" customHeight="true" outlineLevel="0" collapsed="false">
      <c r="A8" s="2" t="s">
        <v>434</v>
      </c>
      <c r="B8" s="2" t="s">
        <v>435</v>
      </c>
      <c r="C8" s="2" t="s">
        <v>436</v>
      </c>
    </row>
    <row r="9" customFormat="false" ht="94.5" hidden="false" customHeight="true" outlineLevel="0" collapsed="false">
      <c r="A9" s="2" t="s">
        <v>437</v>
      </c>
      <c r="B9" s="2" t="s">
        <v>438</v>
      </c>
      <c r="C9" s="2" t="s">
        <v>439</v>
      </c>
    </row>
    <row r="10" customFormat="false" ht="94.5" hidden="false" customHeight="true" outlineLevel="0" collapsed="false">
      <c r="A10" s="2" t="s">
        <v>440</v>
      </c>
      <c r="B10" s="2" t="s">
        <v>441</v>
      </c>
      <c r="C10" s="2" t="s">
        <v>442</v>
      </c>
    </row>
    <row r="11" customFormat="false" ht="94.5" hidden="false" customHeight="true" outlineLevel="0" collapsed="false">
      <c r="A11" s="2" t="s">
        <v>443</v>
      </c>
      <c r="B11" s="2" t="s">
        <v>444</v>
      </c>
      <c r="C11" s="2" t="s">
        <v>445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8"/>
    <col collapsed="false" customWidth="true" hidden="false" outlineLevel="0" max="3" min="3" style="0" width="16"/>
    <col collapsed="false" customWidth="true" hidden="false" outlineLevel="0" max="4" min="4" style="0" width="45"/>
  </cols>
  <sheetData>
    <row r="1" customFormat="false" ht="30" hidden="false" customHeight="true" outlineLevel="0" collapsed="false">
      <c r="A1" s="1" t="s">
        <v>12</v>
      </c>
      <c r="B1" s="1" t="s">
        <v>446</v>
      </c>
      <c r="C1" s="1" t="s">
        <v>447</v>
      </c>
      <c r="D1" s="1" t="s">
        <v>448</v>
      </c>
    </row>
    <row r="2" customFormat="false" ht="48" hidden="false" customHeight="true" outlineLevel="0" collapsed="false">
      <c r="A2" s="2" t="s">
        <v>169</v>
      </c>
      <c r="B2" s="2" t="s">
        <v>449</v>
      </c>
      <c r="C2" s="2" t="s">
        <v>450</v>
      </c>
      <c r="D2" s="2" t="s">
        <v>451</v>
      </c>
    </row>
    <row r="3" customFormat="false" ht="48" hidden="false" customHeight="true" outlineLevel="0" collapsed="false">
      <c r="A3" s="2" t="s">
        <v>200</v>
      </c>
      <c r="B3" s="2" t="s">
        <v>452</v>
      </c>
      <c r="C3" s="2" t="s">
        <v>450</v>
      </c>
      <c r="D3" s="2" t="s">
        <v>453</v>
      </c>
    </row>
    <row r="4" customFormat="false" ht="48" hidden="false" customHeight="true" outlineLevel="0" collapsed="false">
      <c r="A4" s="2" t="s">
        <v>211</v>
      </c>
      <c r="B4" s="2" t="s">
        <v>454</v>
      </c>
      <c r="C4" s="2" t="s">
        <v>455</v>
      </c>
      <c r="D4" s="2" t="s">
        <v>456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6" min="3" style="0" width="16"/>
    <col collapsed="false" customWidth="true" hidden="false" outlineLevel="0" max="7" min="7" style="0" width="25"/>
    <col collapsed="false" customWidth="true" hidden="false" outlineLevel="0" max="9" min="8" style="0" width="16"/>
    <col collapsed="false" customWidth="true" hidden="false" outlineLevel="0" max="12" min="10" style="0" width="18"/>
    <col collapsed="false" customWidth="true" hidden="false" outlineLevel="0" max="13" min="13" style="0" width="40"/>
  </cols>
  <sheetData>
    <row r="1" customFormat="false" ht="30" hidden="false" customHeight="true" outlineLevel="0" collapsed="false">
      <c r="A1" s="1" t="s">
        <v>12</v>
      </c>
      <c r="B1" s="1" t="s">
        <v>457</v>
      </c>
      <c r="C1" s="1" t="s">
        <v>14</v>
      </c>
      <c r="D1" s="1" t="s">
        <v>15</v>
      </c>
      <c r="E1" s="1" t="s">
        <v>458</v>
      </c>
      <c r="F1" s="1" t="s">
        <v>20</v>
      </c>
      <c r="G1" s="1" t="s">
        <v>278</v>
      </c>
      <c r="H1" s="1" t="s">
        <v>22</v>
      </c>
      <c r="I1" s="1" t="s">
        <v>459</v>
      </c>
      <c r="J1" s="1" t="s">
        <v>460</v>
      </c>
      <c r="K1" s="1" t="s">
        <v>461</v>
      </c>
      <c r="L1" s="1" t="s">
        <v>462</v>
      </c>
      <c r="M1" s="1" t="s">
        <v>463</v>
      </c>
    </row>
    <row r="2" customFormat="false" ht="15" hidden="false" customHeight="false" outlineLevel="0" collapsed="false">
      <c r="A2" s="2" t="s">
        <v>26</v>
      </c>
      <c r="B2" s="2" t="s">
        <v>27</v>
      </c>
      <c r="C2" s="2" t="s">
        <v>28</v>
      </c>
      <c r="D2" s="2" t="s">
        <v>29</v>
      </c>
      <c r="E2" s="2" t="s">
        <v>30</v>
      </c>
      <c r="F2" s="2" t="n">
        <v>2.052</v>
      </c>
      <c r="G2" s="3" t="n">
        <f aca="false">F2*3600/Parameters!$B$2</f>
        <v>61.56</v>
      </c>
      <c r="H2" s="2" t="n">
        <v>0.216</v>
      </c>
      <c r="I2" s="2"/>
      <c r="J2" s="3" t="n">
        <f aca="false">SPC_Summary!$B$3</f>
        <v>62.0025</v>
      </c>
      <c r="K2" s="3" t="n">
        <f aca="false">SPC_Summary!$B$7</f>
        <v>63.967429679048</v>
      </c>
      <c r="L2" s="3" t="n">
        <f aca="false">SPC_Summary!$B$6</f>
        <v>60.037570320952</v>
      </c>
      <c r="M2" s="3" t="str">
        <f aca="false">IF(OR(G2&gt;K2,G2&lt;L2),"Outside","Within")</f>
        <v>Within</v>
      </c>
    </row>
    <row r="3" customFormat="false" ht="15" hidden="false" customHeight="false" outlineLevel="0" collapsed="false">
      <c r="A3" s="2" t="s">
        <v>35</v>
      </c>
      <c r="B3" s="2" t="s">
        <v>36</v>
      </c>
      <c r="C3" s="2" t="s">
        <v>28</v>
      </c>
      <c r="D3" s="2" t="s">
        <v>29</v>
      </c>
      <c r="E3" s="2" t="s">
        <v>30</v>
      </c>
      <c r="F3" s="2" t="n">
        <v>2.051</v>
      </c>
      <c r="G3" s="3" t="n">
        <f aca="false">F3*3600/Parameters!$B$2</f>
        <v>61.53</v>
      </c>
      <c r="H3" s="2" t="n">
        <v>0.167</v>
      </c>
      <c r="I3" s="3" t="n">
        <f aca="false">ABS(G3-G2)</f>
        <v>0.029999999999994</v>
      </c>
      <c r="J3" s="3" t="n">
        <f aca="false">SPC_Summary!$B$3</f>
        <v>62.0025</v>
      </c>
      <c r="K3" s="3" t="n">
        <f aca="false">SPC_Summary!$B$7</f>
        <v>63.967429679048</v>
      </c>
      <c r="L3" s="3" t="n">
        <f aca="false">SPC_Summary!$B$6</f>
        <v>60.037570320952</v>
      </c>
      <c r="M3" s="3" t="str">
        <f aca="false">IF(OR(G3&gt;K3,G3&lt;L3),"Outside","Within")</f>
        <v>Within</v>
      </c>
    </row>
    <row r="4" customFormat="false" ht="15" hidden="false" customHeight="false" outlineLevel="0" collapsed="false">
      <c r="A4" s="2" t="s">
        <v>37</v>
      </c>
      <c r="B4" s="2" t="s">
        <v>38</v>
      </c>
      <c r="C4" s="2" t="s">
        <v>28</v>
      </c>
      <c r="D4" s="2" t="s">
        <v>29</v>
      </c>
      <c r="E4" s="2" t="s">
        <v>30</v>
      </c>
      <c r="F4" s="2" t="n">
        <v>2.066</v>
      </c>
      <c r="G4" s="3" t="n">
        <f aca="false">F4*3600/Parameters!$B$2</f>
        <v>61.98</v>
      </c>
      <c r="H4" s="2" t="n">
        <v>0.199</v>
      </c>
      <c r="I4" s="3" t="n">
        <f aca="false">ABS(G4-G3)</f>
        <v>0.449999999999996</v>
      </c>
      <c r="J4" s="3" t="n">
        <f aca="false">SPC_Summary!$B$3</f>
        <v>62.0025</v>
      </c>
      <c r="K4" s="3" t="n">
        <f aca="false">SPC_Summary!$B$7</f>
        <v>63.967429679048</v>
      </c>
      <c r="L4" s="3" t="n">
        <f aca="false">SPC_Summary!$B$6</f>
        <v>60.037570320952</v>
      </c>
      <c r="M4" s="3" t="str">
        <f aca="false">IF(OR(G4&gt;K4,G4&lt;L4),"Outside","Within")</f>
        <v>Within</v>
      </c>
    </row>
    <row r="5" customFormat="false" ht="15" hidden="false" customHeight="false" outlineLevel="0" collapsed="false">
      <c r="A5" s="2" t="s">
        <v>39</v>
      </c>
      <c r="B5" s="2" t="s">
        <v>40</v>
      </c>
      <c r="C5" s="2" t="s">
        <v>28</v>
      </c>
      <c r="D5" s="2" t="s">
        <v>29</v>
      </c>
      <c r="E5" s="2" t="s">
        <v>30</v>
      </c>
      <c r="F5" s="2" t="n">
        <v>2.104</v>
      </c>
      <c r="G5" s="3" t="n">
        <f aca="false">F5*3600/Parameters!$B$2</f>
        <v>63.12</v>
      </c>
      <c r="H5" s="2" t="n">
        <v>0.191</v>
      </c>
      <c r="I5" s="3" t="n">
        <f aca="false">ABS(G5-G4)</f>
        <v>1.14000000000001</v>
      </c>
      <c r="J5" s="3" t="n">
        <f aca="false">SPC_Summary!$B$3</f>
        <v>62.0025</v>
      </c>
      <c r="K5" s="3" t="n">
        <f aca="false">SPC_Summary!$B$7</f>
        <v>63.967429679048</v>
      </c>
      <c r="L5" s="3" t="n">
        <f aca="false">SPC_Summary!$B$6</f>
        <v>60.037570320952</v>
      </c>
      <c r="M5" s="3" t="str">
        <f aca="false">IF(OR(G5&gt;K5,G5&lt;L5),"Outside","Within")</f>
        <v>Within</v>
      </c>
    </row>
    <row r="6" customFormat="false" ht="15" hidden="false" customHeight="false" outlineLevel="0" collapsed="false">
      <c r="A6" s="2" t="s">
        <v>41</v>
      </c>
      <c r="B6" s="2" t="s">
        <v>42</v>
      </c>
      <c r="C6" s="2" t="s">
        <v>28</v>
      </c>
      <c r="D6" s="2" t="s">
        <v>29</v>
      </c>
      <c r="E6" s="2" t="s">
        <v>30</v>
      </c>
      <c r="F6" s="2" t="n">
        <v>2.059</v>
      </c>
      <c r="G6" s="3" t="n">
        <f aca="false">F6*3600/Parameters!$B$2</f>
        <v>61.77</v>
      </c>
      <c r="H6" s="2" t="n">
        <v>0.194</v>
      </c>
      <c r="I6" s="3" t="n">
        <f aca="false">ABS(G6-G5)</f>
        <v>1.35</v>
      </c>
      <c r="J6" s="3" t="n">
        <f aca="false">SPC_Summary!$B$3</f>
        <v>62.0025</v>
      </c>
      <c r="K6" s="3" t="n">
        <f aca="false">SPC_Summary!$B$7</f>
        <v>63.967429679048</v>
      </c>
      <c r="L6" s="3" t="n">
        <f aca="false">SPC_Summary!$B$6</f>
        <v>60.037570320952</v>
      </c>
      <c r="M6" s="3" t="str">
        <f aca="false">IF(OR(G6&gt;K6,G6&lt;L6),"Outside","Within")</f>
        <v>Within</v>
      </c>
    </row>
    <row r="7" customFormat="false" ht="15" hidden="false" customHeight="false" outlineLevel="0" collapsed="false">
      <c r="A7" s="2" t="s">
        <v>43</v>
      </c>
      <c r="B7" s="2" t="s">
        <v>44</v>
      </c>
      <c r="C7" s="2" t="s">
        <v>28</v>
      </c>
      <c r="D7" s="2" t="s">
        <v>29</v>
      </c>
      <c r="E7" s="2" t="s">
        <v>30</v>
      </c>
      <c r="F7" s="2" t="n">
        <v>2.069</v>
      </c>
      <c r="G7" s="3" t="n">
        <f aca="false">F7*3600/Parameters!$B$2</f>
        <v>62.07</v>
      </c>
      <c r="H7" s="2" t="n">
        <v>0.149</v>
      </c>
      <c r="I7" s="3" t="n">
        <f aca="false">ABS(G7-G6)</f>
        <v>0.299999999999997</v>
      </c>
      <c r="J7" s="3" t="n">
        <f aca="false">SPC_Summary!$B$3</f>
        <v>62.0025</v>
      </c>
      <c r="K7" s="3" t="n">
        <f aca="false">SPC_Summary!$B$7</f>
        <v>63.967429679048</v>
      </c>
      <c r="L7" s="3" t="n">
        <f aca="false">SPC_Summary!$B$6</f>
        <v>60.037570320952</v>
      </c>
      <c r="M7" s="3" t="str">
        <f aca="false">IF(OR(G7&gt;K7,G7&lt;L7),"Outside","Within")</f>
        <v>Within</v>
      </c>
    </row>
    <row r="8" customFormat="false" ht="15" hidden="false" customHeight="false" outlineLevel="0" collapsed="false">
      <c r="A8" s="2" t="s">
        <v>45</v>
      </c>
      <c r="B8" s="2" t="s">
        <v>46</v>
      </c>
      <c r="C8" s="2" t="s">
        <v>28</v>
      </c>
      <c r="D8" s="2" t="s">
        <v>47</v>
      </c>
      <c r="E8" s="2" t="s">
        <v>30</v>
      </c>
      <c r="F8" s="2" t="n">
        <v>2.038</v>
      </c>
      <c r="G8" s="3" t="n">
        <f aca="false">F8*3600/Parameters!$B$2</f>
        <v>61.14</v>
      </c>
      <c r="H8" s="2" t="n">
        <v>0.162</v>
      </c>
      <c r="I8" s="3" t="n">
        <f aca="false">ABS(G8-G7)</f>
        <v>0.930000000000007</v>
      </c>
      <c r="J8" s="3" t="n">
        <f aca="false">SPC_Summary!$B$3</f>
        <v>62.0025</v>
      </c>
      <c r="K8" s="3" t="n">
        <f aca="false">SPC_Summary!$B$7</f>
        <v>63.967429679048</v>
      </c>
      <c r="L8" s="3" t="n">
        <f aca="false">SPC_Summary!$B$6</f>
        <v>60.037570320952</v>
      </c>
      <c r="M8" s="3" t="str">
        <f aca="false">IF(OR(G8&gt;K8,G8&lt;L8),"Outside","Within")</f>
        <v>Within</v>
      </c>
    </row>
    <row r="9" customFormat="false" ht="15" hidden="false" customHeight="false" outlineLevel="0" collapsed="false">
      <c r="A9" s="2" t="s">
        <v>48</v>
      </c>
      <c r="B9" s="2" t="s">
        <v>49</v>
      </c>
      <c r="C9" s="2" t="s">
        <v>28</v>
      </c>
      <c r="D9" s="2" t="s">
        <v>47</v>
      </c>
      <c r="E9" s="2" t="s">
        <v>30</v>
      </c>
      <c r="F9" s="2" t="n">
        <v>2.045</v>
      </c>
      <c r="G9" s="3" t="n">
        <f aca="false">F9*3600/Parameters!$B$2</f>
        <v>61.35</v>
      </c>
      <c r="H9" s="2" t="n">
        <v>0.165</v>
      </c>
      <c r="I9" s="3" t="n">
        <f aca="false">ABS(G9-G8)</f>
        <v>0.210000000000008</v>
      </c>
      <c r="J9" s="3" t="n">
        <f aca="false">SPC_Summary!$B$3</f>
        <v>62.0025</v>
      </c>
      <c r="K9" s="3" t="n">
        <f aca="false">SPC_Summary!$B$7</f>
        <v>63.967429679048</v>
      </c>
      <c r="L9" s="3" t="n">
        <f aca="false">SPC_Summary!$B$6</f>
        <v>60.037570320952</v>
      </c>
      <c r="M9" s="3" t="str">
        <f aca="false">IF(OR(G9&gt;K9,G9&lt;L9),"Outside","Within")</f>
        <v>Within</v>
      </c>
    </row>
    <row r="10" customFormat="false" ht="15" hidden="false" customHeight="false" outlineLevel="0" collapsed="false">
      <c r="A10" s="2" t="s">
        <v>50</v>
      </c>
      <c r="B10" s="2" t="s">
        <v>51</v>
      </c>
      <c r="C10" s="2" t="s">
        <v>28</v>
      </c>
      <c r="D10" s="2" t="s">
        <v>47</v>
      </c>
      <c r="E10" s="2" t="s">
        <v>30</v>
      </c>
      <c r="F10" s="2" t="n">
        <v>2.06</v>
      </c>
      <c r="G10" s="3" t="n">
        <f aca="false">F10*3600/Parameters!$B$2</f>
        <v>61.8</v>
      </c>
      <c r="H10" s="2" t="n">
        <v>0.199</v>
      </c>
      <c r="I10" s="3" t="n">
        <f aca="false">ABS(G10-G9)</f>
        <v>0.449999999999996</v>
      </c>
      <c r="J10" s="3" t="n">
        <f aca="false">SPC_Summary!$B$3</f>
        <v>62.0025</v>
      </c>
      <c r="K10" s="3" t="n">
        <f aca="false">SPC_Summary!$B$7</f>
        <v>63.967429679048</v>
      </c>
      <c r="L10" s="3" t="n">
        <f aca="false">SPC_Summary!$B$6</f>
        <v>60.037570320952</v>
      </c>
      <c r="M10" s="3" t="str">
        <f aca="false">IF(OR(G10&gt;K10,G10&lt;L10),"Outside","Within")</f>
        <v>Within</v>
      </c>
    </row>
    <row r="11" customFormat="false" ht="15" hidden="false" customHeight="false" outlineLevel="0" collapsed="false">
      <c r="A11" s="2" t="s">
        <v>52</v>
      </c>
      <c r="B11" s="2" t="s">
        <v>53</v>
      </c>
      <c r="C11" s="2" t="s">
        <v>28</v>
      </c>
      <c r="D11" s="2" t="s">
        <v>47</v>
      </c>
      <c r="E11" s="2" t="s">
        <v>30</v>
      </c>
      <c r="F11" s="2" t="n">
        <v>2.079</v>
      </c>
      <c r="G11" s="3" t="n">
        <f aca="false">F11*3600/Parameters!$B$2</f>
        <v>62.37</v>
      </c>
      <c r="H11" s="2" t="n">
        <v>0.158</v>
      </c>
      <c r="I11" s="3" t="n">
        <f aca="false">ABS(G11-G10)</f>
        <v>0.570000000000007</v>
      </c>
      <c r="J11" s="3" t="n">
        <f aca="false">SPC_Summary!$B$3</f>
        <v>62.0025</v>
      </c>
      <c r="K11" s="3" t="n">
        <f aca="false">SPC_Summary!$B$7</f>
        <v>63.967429679048</v>
      </c>
      <c r="L11" s="3" t="n">
        <f aca="false">SPC_Summary!$B$6</f>
        <v>60.037570320952</v>
      </c>
      <c r="M11" s="3" t="str">
        <f aca="false">IF(OR(G11&gt;K11,G11&lt;L11),"Outside","Within")</f>
        <v>Within</v>
      </c>
    </row>
    <row r="12" customFormat="false" ht="15" hidden="false" customHeight="false" outlineLevel="0" collapsed="false">
      <c r="A12" s="2" t="s">
        <v>54</v>
      </c>
      <c r="B12" s="2" t="s">
        <v>55</v>
      </c>
      <c r="C12" s="2" t="s">
        <v>28</v>
      </c>
      <c r="D12" s="2" t="s">
        <v>47</v>
      </c>
      <c r="E12" s="2" t="s">
        <v>30</v>
      </c>
      <c r="F12" s="2" t="n">
        <v>2.092</v>
      </c>
      <c r="G12" s="3" t="n">
        <f aca="false">F12*3600/Parameters!$B$2</f>
        <v>62.76</v>
      </c>
      <c r="H12" s="2" t="n">
        <v>0.186</v>
      </c>
      <c r="I12" s="3" t="n">
        <f aca="false">ABS(G12-G11)</f>
        <v>0.390000000000001</v>
      </c>
      <c r="J12" s="3" t="n">
        <f aca="false">SPC_Summary!$B$3</f>
        <v>62.0025</v>
      </c>
      <c r="K12" s="3" t="n">
        <f aca="false">SPC_Summary!$B$7</f>
        <v>63.967429679048</v>
      </c>
      <c r="L12" s="3" t="n">
        <f aca="false">SPC_Summary!$B$6</f>
        <v>60.037570320952</v>
      </c>
      <c r="M12" s="3" t="str">
        <f aca="false">IF(OR(G12&gt;K12,G12&lt;L12),"Outside","Within")</f>
        <v>Within</v>
      </c>
    </row>
    <row r="13" customFormat="false" ht="15" hidden="false" customHeight="false" outlineLevel="0" collapsed="false">
      <c r="A13" s="2" t="s">
        <v>56</v>
      </c>
      <c r="B13" s="2" t="s">
        <v>57</v>
      </c>
      <c r="C13" s="2" t="s">
        <v>28</v>
      </c>
      <c r="D13" s="2" t="s">
        <v>47</v>
      </c>
      <c r="E13" s="2" t="s">
        <v>30</v>
      </c>
      <c r="F13" s="2" t="n">
        <v>2.067</v>
      </c>
      <c r="G13" s="3" t="n">
        <f aca="false">F13*3600/Parameters!$B$2</f>
        <v>62.01</v>
      </c>
      <c r="H13" s="2" t="n">
        <v>0.157</v>
      </c>
      <c r="I13" s="3" t="n">
        <f aca="false">ABS(G13-G12)</f>
        <v>0.75</v>
      </c>
      <c r="J13" s="3" t="n">
        <f aca="false">SPC_Summary!$B$3</f>
        <v>62.0025</v>
      </c>
      <c r="K13" s="3" t="n">
        <f aca="false">SPC_Summary!$B$7</f>
        <v>63.967429679048</v>
      </c>
      <c r="L13" s="3" t="n">
        <f aca="false">SPC_Summary!$B$6</f>
        <v>60.037570320952</v>
      </c>
      <c r="M13" s="3" t="str">
        <f aca="false">IF(OR(G13&gt;K13,G13&lt;L13),"Outside","Within")</f>
        <v>Within</v>
      </c>
    </row>
    <row r="14" customFormat="false" ht="15" hidden="false" customHeight="false" outlineLevel="0" collapsed="false">
      <c r="A14" s="2" t="s">
        <v>58</v>
      </c>
      <c r="B14" s="2" t="s">
        <v>59</v>
      </c>
      <c r="C14" s="2" t="s">
        <v>28</v>
      </c>
      <c r="D14" s="2" t="s">
        <v>29</v>
      </c>
      <c r="E14" s="2" t="s">
        <v>30</v>
      </c>
      <c r="F14" s="2" t="n">
        <v>2.089</v>
      </c>
      <c r="G14" s="3" t="n">
        <f aca="false">F14*3600/Parameters!$B$2</f>
        <v>62.67</v>
      </c>
      <c r="H14" s="2" t="n">
        <v>0.173</v>
      </c>
      <c r="I14" s="3" t="n">
        <f aca="false">ABS(G14-G13)</f>
        <v>0.65999999999999</v>
      </c>
      <c r="J14" s="3" t="n">
        <f aca="false">SPC_Summary!$B$3</f>
        <v>62.0025</v>
      </c>
      <c r="K14" s="3" t="n">
        <f aca="false">SPC_Summary!$B$7</f>
        <v>63.967429679048</v>
      </c>
      <c r="L14" s="3" t="n">
        <f aca="false">SPC_Summary!$B$6</f>
        <v>60.037570320952</v>
      </c>
      <c r="M14" s="3" t="str">
        <f aca="false">IF(OR(G14&gt;K14,G14&lt;L14),"Outside","Within")</f>
        <v>Within</v>
      </c>
    </row>
    <row r="15" customFormat="false" ht="15" hidden="false" customHeight="false" outlineLevel="0" collapsed="false">
      <c r="A15" s="2" t="s">
        <v>60</v>
      </c>
      <c r="B15" s="2" t="s">
        <v>61</v>
      </c>
      <c r="C15" s="2" t="s">
        <v>28</v>
      </c>
      <c r="D15" s="2" t="s">
        <v>29</v>
      </c>
      <c r="E15" s="2" t="s">
        <v>30</v>
      </c>
      <c r="F15" s="2" t="n">
        <v>2.058</v>
      </c>
      <c r="G15" s="3" t="n">
        <f aca="false">F15*3600/Parameters!$B$2</f>
        <v>61.74</v>
      </c>
      <c r="H15" s="2" t="n">
        <v>0.194</v>
      </c>
      <c r="I15" s="3" t="n">
        <f aca="false">ABS(G15-G14)</f>
        <v>0.93</v>
      </c>
      <c r="J15" s="3" t="n">
        <f aca="false">SPC_Summary!$B$3</f>
        <v>62.0025</v>
      </c>
      <c r="K15" s="3" t="n">
        <f aca="false">SPC_Summary!$B$7</f>
        <v>63.967429679048</v>
      </c>
      <c r="L15" s="3" t="n">
        <f aca="false">SPC_Summary!$B$6</f>
        <v>60.037570320952</v>
      </c>
      <c r="M15" s="3" t="str">
        <f aca="false">IF(OR(G15&gt;K15,G15&lt;L15),"Outside","Within")</f>
        <v>Within</v>
      </c>
    </row>
    <row r="16" customFormat="false" ht="15" hidden="false" customHeight="false" outlineLevel="0" collapsed="false">
      <c r="A16" s="2" t="s">
        <v>62</v>
      </c>
      <c r="B16" s="2" t="s">
        <v>63</v>
      </c>
      <c r="C16" s="2" t="s">
        <v>28</v>
      </c>
      <c r="D16" s="2" t="s">
        <v>29</v>
      </c>
      <c r="E16" s="2" t="s">
        <v>30</v>
      </c>
      <c r="F16" s="2" t="n">
        <v>2.094</v>
      </c>
      <c r="G16" s="3" t="n">
        <f aca="false">F16*3600/Parameters!$B$2</f>
        <v>62.82</v>
      </c>
      <c r="H16" s="2" t="n">
        <v>0.203</v>
      </c>
      <c r="I16" s="3" t="n">
        <f aca="false">ABS(G16-G15)</f>
        <v>1.08000000000001</v>
      </c>
      <c r="J16" s="3" t="n">
        <f aca="false">SPC_Summary!$B$3</f>
        <v>62.0025</v>
      </c>
      <c r="K16" s="3" t="n">
        <f aca="false">SPC_Summary!$B$7</f>
        <v>63.967429679048</v>
      </c>
      <c r="L16" s="3" t="n">
        <f aca="false">SPC_Summary!$B$6</f>
        <v>60.037570320952</v>
      </c>
      <c r="M16" s="3" t="str">
        <f aca="false">IF(OR(G16&gt;K16,G16&lt;L16),"Outside","Within")</f>
        <v>Within</v>
      </c>
    </row>
    <row r="17" customFormat="false" ht="15" hidden="false" customHeight="false" outlineLevel="0" collapsed="false">
      <c r="A17" s="2" t="s">
        <v>64</v>
      </c>
      <c r="B17" s="2" t="s">
        <v>65</v>
      </c>
      <c r="C17" s="2" t="s">
        <v>28</v>
      </c>
      <c r="D17" s="2" t="s">
        <v>29</v>
      </c>
      <c r="E17" s="2" t="s">
        <v>30</v>
      </c>
      <c r="F17" s="2" t="n">
        <v>2.069</v>
      </c>
      <c r="G17" s="3" t="n">
        <f aca="false">F17*3600/Parameters!$B$2</f>
        <v>62.07</v>
      </c>
      <c r="H17" s="2" t="n">
        <v>0.207</v>
      </c>
      <c r="I17" s="3" t="n">
        <f aca="false">ABS(G17-G16)</f>
        <v>0.75</v>
      </c>
      <c r="J17" s="3" t="n">
        <f aca="false">SPC_Summary!$B$3</f>
        <v>62.0025</v>
      </c>
      <c r="K17" s="3" t="n">
        <f aca="false">SPC_Summary!$B$7</f>
        <v>63.967429679048</v>
      </c>
      <c r="L17" s="3" t="n">
        <f aca="false">SPC_Summary!$B$6</f>
        <v>60.037570320952</v>
      </c>
      <c r="M17" s="3" t="str">
        <f aca="false">IF(OR(G17&gt;K17,G17&lt;L17),"Outside","Within")</f>
        <v>Within</v>
      </c>
    </row>
    <row r="18" customFormat="false" ht="15" hidden="false" customHeight="false" outlineLevel="0" collapsed="false">
      <c r="A18" s="2" t="s">
        <v>66</v>
      </c>
      <c r="B18" s="2" t="s">
        <v>67</v>
      </c>
      <c r="C18" s="2" t="s">
        <v>28</v>
      </c>
      <c r="D18" s="2" t="s">
        <v>29</v>
      </c>
      <c r="E18" s="2" t="s">
        <v>30</v>
      </c>
      <c r="F18" s="2" t="n">
        <v>2.058</v>
      </c>
      <c r="G18" s="3" t="n">
        <f aca="false">F18*3600/Parameters!$B$2</f>
        <v>61.74</v>
      </c>
      <c r="H18" s="2" t="n">
        <v>0.144</v>
      </c>
      <c r="I18" s="3" t="n">
        <f aca="false">ABS(G18-G17)</f>
        <v>0.330000000000005</v>
      </c>
      <c r="J18" s="3" t="n">
        <f aca="false">SPC_Summary!$B$3</f>
        <v>62.0025</v>
      </c>
      <c r="K18" s="3" t="n">
        <f aca="false">SPC_Summary!$B$7</f>
        <v>63.967429679048</v>
      </c>
      <c r="L18" s="3" t="n">
        <f aca="false">SPC_Summary!$B$6</f>
        <v>60.037570320952</v>
      </c>
      <c r="M18" s="3" t="str">
        <f aca="false">IF(OR(G18&gt;K18,G18&lt;L18),"Outside","Within")</f>
        <v>Within</v>
      </c>
    </row>
    <row r="19" customFormat="false" ht="15" hidden="false" customHeight="false" outlineLevel="0" collapsed="false">
      <c r="A19" s="2" t="s">
        <v>68</v>
      </c>
      <c r="B19" s="2" t="s">
        <v>69</v>
      </c>
      <c r="C19" s="2" t="s">
        <v>28</v>
      </c>
      <c r="D19" s="2" t="s">
        <v>29</v>
      </c>
      <c r="E19" s="2" t="s">
        <v>30</v>
      </c>
      <c r="F19" s="2" t="n">
        <v>2.088</v>
      </c>
      <c r="G19" s="3" t="n">
        <f aca="false">F19*3600/Parameters!$B$2</f>
        <v>62.64</v>
      </c>
      <c r="H19" s="2" t="n">
        <v>0.173</v>
      </c>
      <c r="I19" s="3" t="n">
        <f aca="false">ABS(G19-G18)</f>
        <v>0.900000000000006</v>
      </c>
      <c r="J19" s="3" t="n">
        <f aca="false">SPC_Summary!$B$3</f>
        <v>62.0025</v>
      </c>
      <c r="K19" s="3" t="n">
        <f aca="false">SPC_Summary!$B$7</f>
        <v>63.967429679048</v>
      </c>
      <c r="L19" s="3" t="n">
        <f aca="false">SPC_Summary!$B$6</f>
        <v>60.037570320952</v>
      </c>
      <c r="M19" s="3" t="str">
        <f aca="false">IF(OR(G19&gt;K19,G19&lt;L19),"Outside","Within")</f>
        <v>Within</v>
      </c>
    </row>
    <row r="20" customFormat="false" ht="15" hidden="false" customHeight="false" outlineLevel="0" collapsed="false">
      <c r="A20" s="2" t="s">
        <v>70</v>
      </c>
      <c r="B20" s="2" t="s">
        <v>71</v>
      </c>
      <c r="C20" s="2" t="s">
        <v>28</v>
      </c>
      <c r="D20" s="2" t="s">
        <v>47</v>
      </c>
      <c r="E20" s="2" t="s">
        <v>30</v>
      </c>
      <c r="F20" s="2" t="n">
        <v>2.098</v>
      </c>
      <c r="G20" s="3" t="n">
        <f aca="false">F20*3600/Parameters!$B$2</f>
        <v>62.94</v>
      </c>
      <c r="H20" s="2" t="n">
        <v>0.185</v>
      </c>
      <c r="I20" s="3" t="n">
        <f aca="false">ABS(G20-G19)</f>
        <v>0.29999999999999</v>
      </c>
      <c r="J20" s="3" t="n">
        <f aca="false">SPC_Summary!$B$3</f>
        <v>62.0025</v>
      </c>
      <c r="K20" s="3" t="n">
        <f aca="false">SPC_Summary!$B$7</f>
        <v>63.967429679048</v>
      </c>
      <c r="L20" s="3" t="n">
        <f aca="false">SPC_Summary!$B$6</f>
        <v>60.037570320952</v>
      </c>
      <c r="M20" s="3" t="str">
        <f aca="false">IF(OR(G20&gt;K20,G20&lt;L20),"Outside","Within")</f>
        <v>Within</v>
      </c>
    </row>
    <row r="21" customFormat="false" ht="15" hidden="false" customHeight="false" outlineLevel="0" collapsed="false">
      <c r="A21" s="2" t="s">
        <v>72</v>
      </c>
      <c r="B21" s="2" t="s">
        <v>73</v>
      </c>
      <c r="C21" s="2" t="s">
        <v>28</v>
      </c>
      <c r="D21" s="2" t="s">
        <v>47</v>
      </c>
      <c r="E21" s="2" t="s">
        <v>30</v>
      </c>
      <c r="F21" s="2" t="n">
        <v>2.054</v>
      </c>
      <c r="G21" s="3" t="n">
        <f aca="false">F21*3600/Parameters!$B$2</f>
        <v>61.62</v>
      </c>
      <c r="H21" s="2" t="n">
        <v>0.186</v>
      </c>
      <c r="I21" s="3" t="n">
        <f aca="false">ABS(G21-G20)</f>
        <v>1.31999999999999</v>
      </c>
      <c r="J21" s="3" t="n">
        <f aca="false">SPC_Summary!$B$3</f>
        <v>62.0025</v>
      </c>
      <c r="K21" s="3" t="n">
        <f aca="false">SPC_Summary!$B$7</f>
        <v>63.967429679048</v>
      </c>
      <c r="L21" s="3" t="n">
        <f aca="false">SPC_Summary!$B$6</f>
        <v>60.037570320952</v>
      </c>
      <c r="M21" s="3" t="str">
        <f aca="false">IF(OR(G21&gt;K21,G21&lt;L21),"Outside","Within")</f>
        <v>Within</v>
      </c>
    </row>
    <row r="22" customFormat="false" ht="15" hidden="false" customHeight="false" outlineLevel="0" collapsed="false">
      <c r="A22" s="2" t="s">
        <v>74</v>
      </c>
      <c r="B22" s="2" t="s">
        <v>75</v>
      </c>
      <c r="C22" s="2" t="s">
        <v>28</v>
      </c>
      <c r="D22" s="2" t="s">
        <v>47</v>
      </c>
      <c r="E22" s="2" t="s">
        <v>30</v>
      </c>
      <c r="F22" s="2" t="n">
        <v>2.039</v>
      </c>
      <c r="G22" s="3" t="n">
        <f aca="false">F22*3600/Parameters!$B$2</f>
        <v>61.17</v>
      </c>
      <c r="H22" s="2" t="n">
        <v>0.189</v>
      </c>
      <c r="I22" s="3" t="n">
        <f aca="false">ABS(G22-G21)</f>
        <v>0.449999999999996</v>
      </c>
      <c r="J22" s="3" t="n">
        <f aca="false">SPC_Summary!$B$3</f>
        <v>62.0025</v>
      </c>
      <c r="K22" s="3" t="n">
        <f aca="false">SPC_Summary!$B$7</f>
        <v>63.967429679048</v>
      </c>
      <c r="L22" s="3" t="n">
        <f aca="false">SPC_Summary!$B$6</f>
        <v>60.037570320952</v>
      </c>
      <c r="M22" s="3" t="str">
        <f aca="false">IF(OR(G22&gt;K22,G22&lt;L22),"Outside","Within")</f>
        <v>Within</v>
      </c>
    </row>
    <row r="23" customFormat="false" ht="15" hidden="false" customHeight="false" outlineLevel="0" collapsed="false">
      <c r="A23" s="2" t="s">
        <v>76</v>
      </c>
      <c r="B23" s="2" t="s">
        <v>77</v>
      </c>
      <c r="C23" s="2" t="s">
        <v>28</v>
      </c>
      <c r="D23" s="2" t="s">
        <v>47</v>
      </c>
      <c r="E23" s="2" t="s">
        <v>30</v>
      </c>
      <c r="F23" s="2" t="n">
        <v>2.052</v>
      </c>
      <c r="G23" s="3" t="n">
        <f aca="false">F23*3600/Parameters!$B$2</f>
        <v>61.56</v>
      </c>
      <c r="H23" s="2" t="n">
        <v>0.193</v>
      </c>
      <c r="I23" s="3" t="n">
        <f aca="false">ABS(G23-G22)</f>
        <v>0.389999999999993</v>
      </c>
      <c r="J23" s="3" t="n">
        <f aca="false">SPC_Summary!$B$3</f>
        <v>62.0025</v>
      </c>
      <c r="K23" s="3" t="n">
        <f aca="false">SPC_Summary!$B$7</f>
        <v>63.967429679048</v>
      </c>
      <c r="L23" s="3" t="n">
        <f aca="false">SPC_Summary!$B$6</f>
        <v>60.037570320952</v>
      </c>
      <c r="M23" s="3" t="str">
        <f aca="false">IF(OR(G23&gt;K23,G23&lt;L23),"Outside","Within")</f>
        <v>Within</v>
      </c>
    </row>
    <row r="24" customFormat="false" ht="15" hidden="false" customHeight="false" outlineLevel="0" collapsed="false">
      <c r="A24" s="2" t="s">
        <v>78</v>
      </c>
      <c r="B24" s="2" t="s">
        <v>79</v>
      </c>
      <c r="C24" s="2" t="s">
        <v>28</v>
      </c>
      <c r="D24" s="2" t="s">
        <v>47</v>
      </c>
      <c r="E24" s="2" t="s">
        <v>30</v>
      </c>
      <c r="F24" s="2" t="n">
        <v>2.101</v>
      </c>
      <c r="G24" s="3" t="n">
        <f aca="false">F24*3600/Parameters!$B$2</f>
        <v>63.03</v>
      </c>
      <c r="H24" s="2" t="n">
        <v>0.188</v>
      </c>
      <c r="I24" s="3" t="n">
        <f aca="false">ABS(G24-G23)</f>
        <v>1.47000000000001</v>
      </c>
      <c r="J24" s="3" t="n">
        <f aca="false">SPC_Summary!$B$3</f>
        <v>62.0025</v>
      </c>
      <c r="K24" s="3" t="n">
        <f aca="false">SPC_Summary!$B$7</f>
        <v>63.967429679048</v>
      </c>
      <c r="L24" s="3" t="n">
        <f aca="false">SPC_Summary!$B$6</f>
        <v>60.037570320952</v>
      </c>
      <c r="M24" s="3" t="str">
        <f aca="false">IF(OR(G24&gt;K24,G24&lt;L24),"Outside","Within")</f>
        <v>Within</v>
      </c>
    </row>
    <row r="25" customFormat="false" ht="15" hidden="false" customHeight="false" outlineLevel="0" collapsed="false">
      <c r="A25" s="2" t="s">
        <v>80</v>
      </c>
      <c r="B25" s="2" t="s">
        <v>81</v>
      </c>
      <c r="C25" s="2" t="s">
        <v>28</v>
      </c>
      <c r="D25" s="2" t="s">
        <v>47</v>
      </c>
      <c r="E25" s="2" t="s">
        <v>30</v>
      </c>
      <c r="F25" s="2" t="n">
        <v>2.067</v>
      </c>
      <c r="G25" s="3" t="n">
        <f aca="false">F25*3600/Parameters!$B$2</f>
        <v>62.01</v>
      </c>
      <c r="H25" s="2" t="n">
        <v>0.169</v>
      </c>
      <c r="I25" s="3" t="n">
        <f aca="false">ABS(G25-G24)</f>
        <v>1.02</v>
      </c>
      <c r="J25" s="3" t="n">
        <f aca="false">SPC_Summary!$B$3</f>
        <v>62.0025</v>
      </c>
      <c r="K25" s="3" t="n">
        <f aca="false">SPC_Summary!$B$7</f>
        <v>63.967429679048</v>
      </c>
      <c r="L25" s="3" t="n">
        <f aca="false">SPC_Summary!$B$6</f>
        <v>60.037570320952</v>
      </c>
      <c r="M25" s="3" t="str">
        <f aca="false">IF(OR(G25&gt;K25,G25&lt;L25),"Outside","Within")</f>
        <v>Within</v>
      </c>
    </row>
    <row r="26" customFormat="false" ht="15" hidden="false" customHeight="false" outlineLevel="0" collapsed="false">
      <c r="A26" s="2" t="s">
        <v>82</v>
      </c>
      <c r="B26" s="2" t="s">
        <v>83</v>
      </c>
      <c r="C26" s="2" t="s">
        <v>28</v>
      </c>
      <c r="D26" s="2" t="s">
        <v>29</v>
      </c>
      <c r="E26" s="2" t="s">
        <v>30</v>
      </c>
      <c r="F26" s="2" t="n">
        <v>2.105</v>
      </c>
      <c r="G26" s="3" t="n">
        <f aca="false">F26*3600/Parameters!$B$2</f>
        <v>63.15</v>
      </c>
      <c r="H26" s="2" t="n">
        <v>0.18</v>
      </c>
      <c r="I26" s="3" t="n">
        <f aca="false">ABS(G26-G25)</f>
        <v>1.13999999999999</v>
      </c>
      <c r="J26" s="3" t="n">
        <f aca="false">SPC_Summary!$B$3</f>
        <v>62.0025</v>
      </c>
      <c r="K26" s="3" t="n">
        <f aca="false">SPC_Summary!$B$7</f>
        <v>63.967429679048</v>
      </c>
      <c r="L26" s="3" t="n">
        <f aca="false">SPC_Summary!$B$6</f>
        <v>60.037570320952</v>
      </c>
      <c r="M26" s="3" t="str">
        <f aca="false">IF(OR(G26&gt;K26,G26&lt;L26),"Outside","Within")</f>
        <v>Within</v>
      </c>
    </row>
    <row r="27" customFormat="false" ht="15" hidden="false" customHeight="false" outlineLevel="0" collapsed="false">
      <c r="A27" s="2" t="s">
        <v>84</v>
      </c>
      <c r="B27" s="2" t="s">
        <v>85</v>
      </c>
      <c r="C27" s="2" t="s">
        <v>28</v>
      </c>
      <c r="D27" s="2" t="s">
        <v>29</v>
      </c>
      <c r="E27" s="2" t="s">
        <v>30</v>
      </c>
      <c r="F27" s="2" t="n">
        <v>2.072</v>
      </c>
      <c r="G27" s="3" t="n">
        <f aca="false">F27*3600/Parameters!$B$2</f>
        <v>62.16</v>
      </c>
      <c r="H27" s="2" t="n">
        <v>0.165</v>
      </c>
      <c r="I27" s="3" t="n">
        <f aca="false">ABS(G27-G26)</f>
        <v>0.990000000000002</v>
      </c>
      <c r="J27" s="3" t="n">
        <f aca="false">SPC_Summary!$B$3</f>
        <v>62.0025</v>
      </c>
      <c r="K27" s="3" t="n">
        <f aca="false">SPC_Summary!$B$7</f>
        <v>63.967429679048</v>
      </c>
      <c r="L27" s="3" t="n">
        <f aca="false">SPC_Summary!$B$6</f>
        <v>60.037570320952</v>
      </c>
      <c r="M27" s="3" t="str">
        <f aca="false">IF(OR(G27&gt;K27,G27&lt;L27),"Outside","Within")</f>
        <v>Within</v>
      </c>
    </row>
    <row r="28" customFormat="false" ht="15" hidden="false" customHeight="false" outlineLevel="0" collapsed="false">
      <c r="A28" s="2" t="s">
        <v>86</v>
      </c>
      <c r="B28" s="2" t="s">
        <v>87</v>
      </c>
      <c r="C28" s="2" t="s">
        <v>28</v>
      </c>
      <c r="D28" s="2" t="s">
        <v>29</v>
      </c>
      <c r="E28" s="2" t="s">
        <v>30</v>
      </c>
      <c r="F28" s="2" t="n">
        <v>2.049</v>
      </c>
      <c r="G28" s="3" t="n">
        <f aca="false">F28*3600/Parameters!$B$2</f>
        <v>61.47</v>
      </c>
      <c r="H28" s="2" t="n">
        <v>0.19</v>
      </c>
      <c r="I28" s="3" t="n">
        <f aca="false">ABS(G28-G27)</f>
        <v>0.689999999999998</v>
      </c>
      <c r="J28" s="3" t="n">
        <f aca="false">SPC_Summary!$B$3</f>
        <v>62.0025</v>
      </c>
      <c r="K28" s="3" t="n">
        <f aca="false">SPC_Summary!$B$7</f>
        <v>63.967429679048</v>
      </c>
      <c r="L28" s="3" t="n">
        <f aca="false">SPC_Summary!$B$6</f>
        <v>60.037570320952</v>
      </c>
      <c r="M28" s="3" t="str">
        <f aca="false">IF(OR(G28&gt;K28,G28&lt;L28),"Outside","Within")</f>
        <v>Within</v>
      </c>
    </row>
    <row r="29" customFormat="false" ht="15" hidden="false" customHeight="false" outlineLevel="0" collapsed="false">
      <c r="A29" s="2" t="s">
        <v>88</v>
      </c>
      <c r="B29" s="2" t="s">
        <v>89</v>
      </c>
      <c r="C29" s="2" t="s">
        <v>28</v>
      </c>
      <c r="D29" s="2" t="s">
        <v>29</v>
      </c>
      <c r="E29" s="2" t="s">
        <v>30</v>
      </c>
      <c r="F29" s="2" t="n">
        <v>2.077</v>
      </c>
      <c r="G29" s="3" t="n">
        <f aca="false">F29*3600/Parameters!$B$2</f>
        <v>62.31</v>
      </c>
      <c r="H29" s="2" t="n">
        <v>0.173</v>
      </c>
      <c r="I29" s="3" t="n">
        <f aca="false">ABS(G29-G28)</f>
        <v>0.839999999999996</v>
      </c>
      <c r="J29" s="3" t="n">
        <f aca="false">SPC_Summary!$B$3</f>
        <v>62.0025</v>
      </c>
      <c r="K29" s="3" t="n">
        <f aca="false">SPC_Summary!$B$7</f>
        <v>63.967429679048</v>
      </c>
      <c r="L29" s="3" t="n">
        <f aca="false">SPC_Summary!$B$6</f>
        <v>60.037570320952</v>
      </c>
      <c r="M29" s="3" t="str">
        <f aca="false">IF(OR(G29&gt;K29,G29&lt;L29),"Outside","Within")</f>
        <v>Within</v>
      </c>
    </row>
    <row r="30" customFormat="false" ht="15" hidden="false" customHeight="false" outlineLevel="0" collapsed="false">
      <c r="A30" s="2" t="s">
        <v>90</v>
      </c>
      <c r="B30" s="2" t="s">
        <v>91</v>
      </c>
      <c r="C30" s="2" t="s">
        <v>28</v>
      </c>
      <c r="D30" s="2" t="s">
        <v>29</v>
      </c>
      <c r="E30" s="2" t="s">
        <v>30</v>
      </c>
      <c r="F30" s="2" t="n">
        <v>2.062</v>
      </c>
      <c r="G30" s="3" t="n">
        <f aca="false">F30*3600/Parameters!$B$2</f>
        <v>61.86</v>
      </c>
      <c r="H30" s="2" t="n">
        <v>0.169</v>
      </c>
      <c r="I30" s="3" t="n">
        <f aca="false">ABS(G30-G29)</f>
        <v>0.449999999999996</v>
      </c>
      <c r="J30" s="3" t="n">
        <f aca="false">SPC_Summary!$B$3</f>
        <v>62.0025</v>
      </c>
      <c r="K30" s="3" t="n">
        <f aca="false">SPC_Summary!$B$7</f>
        <v>63.967429679048</v>
      </c>
      <c r="L30" s="3" t="n">
        <f aca="false">SPC_Summary!$B$6</f>
        <v>60.037570320952</v>
      </c>
      <c r="M30" s="3" t="str">
        <f aca="false">IF(OR(G30&gt;K30,G30&lt;L30),"Outside","Within")</f>
        <v>Within</v>
      </c>
    </row>
    <row r="31" customFormat="false" ht="15" hidden="false" customHeight="false" outlineLevel="0" collapsed="false">
      <c r="A31" s="2" t="s">
        <v>92</v>
      </c>
      <c r="B31" s="2" t="s">
        <v>93</v>
      </c>
      <c r="C31" s="2" t="s">
        <v>28</v>
      </c>
      <c r="D31" s="2" t="s">
        <v>29</v>
      </c>
      <c r="E31" s="2" t="s">
        <v>30</v>
      </c>
      <c r="F31" s="2" t="n">
        <v>2.043</v>
      </c>
      <c r="G31" s="3" t="n">
        <f aca="false">F31*3600/Parameters!$B$2</f>
        <v>61.29</v>
      </c>
      <c r="H31" s="2" t="n">
        <v>0.183</v>
      </c>
      <c r="I31" s="3" t="n">
        <f aca="false">ABS(G31-G30)</f>
        <v>0.57</v>
      </c>
      <c r="J31" s="3" t="n">
        <f aca="false">SPC_Summary!$B$3</f>
        <v>62.0025</v>
      </c>
      <c r="K31" s="3" t="n">
        <f aca="false">SPC_Summary!$B$7</f>
        <v>63.967429679048</v>
      </c>
      <c r="L31" s="3" t="n">
        <f aca="false">SPC_Summary!$B$6</f>
        <v>60.037570320952</v>
      </c>
      <c r="M31" s="3" t="str">
        <f aca="false">IF(OR(G31&gt;K31,G31&lt;L31),"Outside","Within")</f>
        <v>Within</v>
      </c>
    </row>
    <row r="32" customFormat="false" ht="15" hidden="false" customHeight="false" outlineLevel="0" collapsed="false">
      <c r="A32" s="2" t="s">
        <v>94</v>
      </c>
      <c r="B32" s="2" t="s">
        <v>95</v>
      </c>
      <c r="C32" s="2" t="s">
        <v>28</v>
      </c>
      <c r="D32" s="2" t="s">
        <v>47</v>
      </c>
      <c r="E32" s="2" t="s">
        <v>30</v>
      </c>
      <c r="F32" s="2" t="n">
        <v>2.066</v>
      </c>
      <c r="G32" s="3" t="n">
        <f aca="false">F32*3600/Parameters!$B$2</f>
        <v>61.98</v>
      </c>
      <c r="H32" s="2" t="n">
        <v>0.148</v>
      </c>
      <c r="I32" s="3" t="n">
        <f aca="false">ABS(G32-G31)</f>
        <v>0.689999999999998</v>
      </c>
      <c r="J32" s="3" t="n">
        <f aca="false">SPC_Summary!$B$3</f>
        <v>62.0025</v>
      </c>
      <c r="K32" s="3" t="n">
        <f aca="false">SPC_Summary!$B$7</f>
        <v>63.967429679048</v>
      </c>
      <c r="L32" s="3" t="n">
        <f aca="false">SPC_Summary!$B$6</f>
        <v>60.037570320952</v>
      </c>
      <c r="M32" s="3" t="str">
        <f aca="false">IF(OR(G32&gt;K32,G32&lt;L32),"Outside","Within")</f>
        <v>Within</v>
      </c>
    </row>
    <row r="33" customFormat="false" ht="15" hidden="false" customHeight="false" outlineLevel="0" collapsed="false">
      <c r="A33" s="2" t="s">
        <v>96</v>
      </c>
      <c r="B33" s="2" t="s">
        <v>97</v>
      </c>
      <c r="C33" s="2" t="s">
        <v>28</v>
      </c>
      <c r="D33" s="2" t="s">
        <v>47</v>
      </c>
      <c r="E33" s="2" t="s">
        <v>30</v>
      </c>
      <c r="F33" s="2" t="n">
        <v>2.084</v>
      </c>
      <c r="G33" s="3" t="n">
        <f aca="false">F33*3600/Parameters!$B$2</f>
        <v>62.52</v>
      </c>
      <c r="H33" s="2" t="n">
        <v>0.195</v>
      </c>
      <c r="I33" s="3" t="n">
        <f aca="false">ABS(G33-G32)</f>
        <v>0.540000000000006</v>
      </c>
      <c r="J33" s="3" t="n">
        <f aca="false">SPC_Summary!$B$3</f>
        <v>62.0025</v>
      </c>
      <c r="K33" s="3" t="n">
        <f aca="false">SPC_Summary!$B$7</f>
        <v>63.967429679048</v>
      </c>
      <c r="L33" s="3" t="n">
        <f aca="false">SPC_Summary!$B$6</f>
        <v>60.037570320952</v>
      </c>
      <c r="M33" s="3" t="str">
        <f aca="false">IF(OR(G33&gt;K33,G33&lt;L33),"Outside","Within")</f>
        <v>Within</v>
      </c>
    </row>
    <row r="34" customFormat="false" ht="15" hidden="false" customHeight="false" outlineLevel="0" collapsed="false">
      <c r="A34" s="2" t="s">
        <v>98</v>
      </c>
      <c r="B34" s="2" t="s">
        <v>99</v>
      </c>
      <c r="C34" s="2" t="s">
        <v>28</v>
      </c>
      <c r="D34" s="2" t="s">
        <v>47</v>
      </c>
      <c r="E34" s="2" t="s">
        <v>30</v>
      </c>
      <c r="F34" s="2" t="n">
        <v>2.052</v>
      </c>
      <c r="G34" s="3" t="n">
        <f aca="false">F34*3600/Parameters!$B$2</f>
        <v>61.56</v>
      </c>
      <c r="H34" s="2" t="n">
        <v>0.153</v>
      </c>
      <c r="I34" s="3" t="n">
        <f aca="false">ABS(G34-G33)</f>
        <v>0.960000000000008</v>
      </c>
      <c r="J34" s="3" t="n">
        <f aca="false">SPC_Summary!$B$3</f>
        <v>62.0025</v>
      </c>
      <c r="K34" s="3" t="n">
        <f aca="false">SPC_Summary!$B$7</f>
        <v>63.967429679048</v>
      </c>
      <c r="L34" s="3" t="n">
        <f aca="false">SPC_Summary!$B$6</f>
        <v>60.037570320952</v>
      </c>
      <c r="M34" s="3" t="str">
        <f aca="false">IF(OR(G34&gt;K34,G34&lt;L34),"Outside","Within")</f>
        <v>Within</v>
      </c>
    </row>
    <row r="35" customFormat="false" ht="15" hidden="false" customHeight="false" outlineLevel="0" collapsed="false">
      <c r="A35" s="2" t="s">
        <v>100</v>
      </c>
      <c r="B35" s="2" t="s">
        <v>101</v>
      </c>
      <c r="C35" s="2" t="s">
        <v>28</v>
      </c>
      <c r="D35" s="2" t="s">
        <v>47</v>
      </c>
      <c r="E35" s="2" t="s">
        <v>30</v>
      </c>
      <c r="F35" s="2" t="n">
        <v>2.067</v>
      </c>
      <c r="G35" s="3" t="n">
        <f aca="false">F35*3600/Parameters!$B$2</f>
        <v>62.01</v>
      </c>
      <c r="H35" s="2" t="n">
        <v>0.178</v>
      </c>
      <c r="I35" s="3" t="n">
        <f aca="false">ABS(G35-G34)</f>
        <v>0.45000000000001</v>
      </c>
      <c r="J35" s="3" t="n">
        <f aca="false">SPC_Summary!$B$3</f>
        <v>62.0025</v>
      </c>
      <c r="K35" s="3" t="n">
        <f aca="false">SPC_Summary!$B$7</f>
        <v>63.967429679048</v>
      </c>
      <c r="L35" s="3" t="n">
        <f aca="false">SPC_Summary!$B$6</f>
        <v>60.037570320952</v>
      </c>
      <c r="M35" s="3" t="str">
        <f aca="false">IF(OR(G35&gt;K35,G35&lt;L35),"Outside","Within")</f>
        <v>Within</v>
      </c>
    </row>
    <row r="36" customFormat="false" ht="15" hidden="false" customHeight="false" outlineLevel="0" collapsed="false">
      <c r="A36" s="2" t="s">
        <v>102</v>
      </c>
      <c r="B36" s="2" t="s">
        <v>103</v>
      </c>
      <c r="C36" s="2" t="s">
        <v>28</v>
      </c>
      <c r="D36" s="2" t="s">
        <v>47</v>
      </c>
      <c r="E36" s="2" t="s">
        <v>30</v>
      </c>
      <c r="F36" s="2" t="n">
        <v>2.037</v>
      </c>
      <c r="G36" s="3" t="n">
        <f aca="false">F36*3600/Parameters!$B$2</f>
        <v>61.11</v>
      </c>
      <c r="H36" s="2" t="n">
        <v>0.17</v>
      </c>
      <c r="I36" s="3" t="n">
        <f aca="false">ABS(G36-G35)</f>
        <v>0.900000000000006</v>
      </c>
      <c r="J36" s="3" t="n">
        <f aca="false">SPC_Summary!$B$3</f>
        <v>62.0025</v>
      </c>
      <c r="K36" s="3" t="n">
        <f aca="false">SPC_Summary!$B$7</f>
        <v>63.967429679048</v>
      </c>
      <c r="L36" s="3" t="n">
        <f aca="false">SPC_Summary!$B$6</f>
        <v>60.037570320952</v>
      </c>
      <c r="M36" s="3" t="str">
        <f aca="false">IF(OR(G36&gt;K36,G36&lt;L36),"Outside","Within")</f>
        <v>Within</v>
      </c>
    </row>
    <row r="37" customFormat="false" ht="15" hidden="false" customHeight="false" outlineLevel="0" collapsed="false">
      <c r="A37" s="2" t="s">
        <v>104</v>
      </c>
      <c r="B37" s="2" t="s">
        <v>105</v>
      </c>
      <c r="C37" s="2" t="s">
        <v>28</v>
      </c>
      <c r="D37" s="2" t="s">
        <v>47</v>
      </c>
      <c r="E37" s="2" t="s">
        <v>30</v>
      </c>
      <c r="F37" s="2" t="n">
        <v>2.065</v>
      </c>
      <c r="G37" s="3" t="n">
        <f aca="false">F37*3600/Parameters!$B$2</f>
        <v>61.95</v>
      </c>
      <c r="H37" s="2" t="n">
        <v>0.151</v>
      </c>
      <c r="I37" s="3" t="n">
        <f aca="false">ABS(G37-G36)</f>
        <v>0.840000000000003</v>
      </c>
      <c r="J37" s="3" t="n">
        <f aca="false">SPC_Summary!$B$3</f>
        <v>62.0025</v>
      </c>
      <c r="K37" s="3" t="n">
        <f aca="false">SPC_Summary!$B$7</f>
        <v>63.967429679048</v>
      </c>
      <c r="L37" s="3" t="n">
        <f aca="false">SPC_Summary!$B$6</f>
        <v>60.037570320952</v>
      </c>
      <c r="M37" s="3" t="str">
        <f aca="false">IF(OR(G37&gt;K37,G37&lt;L37),"Outside","Within")</f>
        <v>Within</v>
      </c>
    </row>
    <row r="38" customFormat="false" ht="15" hidden="false" customHeight="false" outlineLevel="0" collapsed="false">
      <c r="A38" s="2" t="s">
        <v>106</v>
      </c>
      <c r="B38" s="2" t="s">
        <v>107</v>
      </c>
      <c r="C38" s="2" t="s">
        <v>28</v>
      </c>
      <c r="D38" s="2" t="s">
        <v>29</v>
      </c>
      <c r="E38" s="2" t="s">
        <v>30</v>
      </c>
      <c r="F38" s="2" t="n">
        <v>2.069</v>
      </c>
      <c r="G38" s="3" t="n">
        <f aca="false">F38*3600/Parameters!$B$2</f>
        <v>62.07</v>
      </c>
      <c r="H38" s="2" t="n">
        <v>0.195</v>
      </c>
      <c r="I38" s="3" t="n">
        <f aca="false">ABS(G38-G37)</f>
        <v>0.119999999999997</v>
      </c>
      <c r="J38" s="3" t="n">
        <f aca="false">SPC_Summary!$B$3</f>
        <v>62.0025</v>
      </c>
      <c r="K38" s="3" t="n">
        <f aca="false">SPC_Summary!$B$7</f>
        <v>63.967429679048</v>
      </c>
      <c r="L38" s="3" t="n">
        <f aca="false">SPC_Summary!$B$6</f>
        <v>60.037570320952</v>
      </c>
      <c r="M38" s="3" t="str">
        <f aca="false">IF(OR(G38&gt;K38,G38&lt;L38),"Outside","Within")</f>
        <v>Within</v>
      </c>
    </row>
    <row r="39" customFormat="false" ht="15" hidden="false" customHeight="false" outlineLevel="0" collapsed="false">
      <c r="A39" s="2" t="s">
        <v>108</v>
      </c>
      <c r="B39" s="2" t="s">
        <v>109</v>
      </c>
      <c r="C39" s="2" t="s">
        <v>28</v>
      </c>
      <c r="D39" s="2" t="s">
        <v>29</v>
      </c>
      <c r="E39" s="2" t="s">
        <v>30</v>
      </c>
      <c r="F39" s="2" t="n">
        <v>2.074</v>
      </c>
      <c r="G39" s="3" t="n">
        <f aca="false">F39*3600/Parameters!$B$2</f>
        <v>62.22</v>
      </c>
      <c r="H39" s="2" t="n">
        <v>0.191</v>
      </c>
      <c r="I39" s="3" t="n">
        <f aca="false">ABS(G39-G38)</f>
        <v>0.149999999999999</v>
      </c>
      <c r="J39" s="3" t="n">
        <f aca="false">SPC_Summary!$B$3</f>
        <v>62.0025</v>
      </c>
      <c r="K39" s="3" t="n">
        <f aca="false">SPC_Summary!$B$7</f>
        <v>63.967429679048</v>
      </c>
      <c r="L39" s="3" t="n">
        <f aca="false">SPC_Summary!$B$6</f>
        <v>60.037570320952</v>
      </c>
      <c r="M39" s="3" t="str">
        <f aca="false">IF(OR(G39&gt;K39,G39&lt;L39),"Outside","Within")</f>
        <v>Within</v>
      </c>
    </row>
    <row r="40" customFormat="false" ht="15" hidden="false" customHeight="false" outlineLevel="0" collapsed="false">
      <c r="A40" s="2" t="s">
        <v>110</v>
      </c>
      <c r="B40" s="2" t="s">
        <v>111</v>
      </c>
      <c r="C40" s="2" t="s">
        <v>28</v>
      </c>
      <c r="D40" s="2" t="s">
        <v>29</v>
      </c>
      <c r="E40" s="2" t="s">
        <v>30</v>
      </c>
      <c r="F40" s="2" t="n">
        <v>2.056</v>
      </c>
      <c r="G40" s="3" t="n">
        <f aca="false">F40*3600/Parameters!$B$2</f>
        <v>61.68</v>
      </c>
      <c r="H40" s="2" t="n">
        <v>0.202</v>
      </c>
      <c r="I40" s="3" t="n">
        <f aca="false">ABS(G40-G39)</f>
        <v>0.539999999999999</v>
      </c>
      <c r="J40" s="3" t="n">
        <f aca="false">SPC_Summary!$B$3</f>
        <v>62.0025</v>
      </c>
      <c r="K40" s="3" t="n">
        <f aca="false">SPC_Summary!$B$7</f>
        <v>63.967429679048</v>
      </c>
      <c r="L40" s="3" t="n">
        <f aca="false">SPC_Summary!$B$6</f>
        <v>60.037570320952</v>
      </c>
      <c r="M40" s="3" t="str">
        <f aca="false">IF(OR(G40&gt;K40,G40&lt;L40),"Outside","Within")</f>
        <v>Within</v>
      </c>
    </row>
    <row r="41" customFormat="false" ht="15" hidden="false" customHeight="false" outlineLevel="0" collapsed="false">
      <c r="A41" s="2" t="s">
        <v>112</v>
      </c>
      <c r="B41" s="2" t="s">
        <v>113</v>
      </c>
      <c r="C41" s="2" t="s">
        <v>28</v>
      </c>
      <c r="D41" s="2" t="s">
        <v>29</v>
      </c>
      <c r="E41" s="2" t="s">
        <v>30</v>
      </c>
      <c r="F41" s="2" t="n">
        <v>2.076</v>
      </c>
      <c r="G41" s="3" t="n">
        <f aca="false">F41*3600/Parameters!$B$2</f>
        <v>62.28</v>
      </c>
      <c r="H41" s="2" t="n">
        <v>0.208</v>
      </c>
      <c r="I41" s="3" t="n">
        <f aca="false">ABS(G41-G40)</f>
        <v>0.600000000000001</v>
      </c>
      <c r="J41" s="3" t="n">
        <f aca="false">SPC_Summary!$B$3</f>
        <v>62.0025</v>
      </c>
      <c r="K41" s="3" t="n">
        <f aca="false">SPC_Summary!$B$7</f>
        <v>63.967429679048</v>
      </c>
      <c r="L41" s="3" t="n">
        <f aca="false">SPC_Summary!$B$6</f>
        <v>60.037570320952</v>
      </c>
      <c r="M41" s="3" t="str">
        <f aca="false">IF(OR(G41&gt;K41,G41&lt;L41),"Outside","Within")</f>
        <v>Within</v>
      </c>
    </row>
    <row r="42" customFormat="false" ht="15" hidden="false" customHeight="false" outlineLevel="0" collapsed="false">
      <c r="A42" s="2" t="s">
        <v>114</v>
      </c>
      <c r="B42" s="2" t="s">
        <v>115</v>
      </c>
      <c r="C42" s="2" t="s">
        <v>28</v>
      </c>
      <c r="D42" s="2" t="s">
        <v>29</v>
      </c>
      <c r="E42" s="2" t="s">
        <v>30</v>
      </c>
      <c r="F42" s="2" t="n">
        <v>2.037</v>
      </c>
      <c r="G42" s="3" t="n">
        <f aca="false">F42*3600/Parameters!$B$2</f>
        <v>61.11</v>
      </c>
      <c r="H42" s="2" t="n">
        <v>0.203</v>
      </c>
      <c r="I42" s="3" t="n">
        <f aca="false">ABS(G42-G41)</f>
        <v>1.17</v>
      </c>
      <c r="J42" s="3" t="n">
        <f aca="false">SPC_Summary!$B$3</f>
        <v>62.0025</v>
      </c>
      <c r="K42" s="3" t="n">
        <f aca="false">SPC_Summary!$B$7</f>
        <v>63.967429679048</v>
      </c>
      <c r="L42" s="3" t="n">
        <f aca="false">SPC_Summary!$B$6</f>
        <v>60.037570320952</v>
      </c>
      <c r="M42" s="3" t="str">
        <f aca="false">IF(OR(G42&gt;K42,G42&lt;L42),"Outside","Within")</f>
        <v>Within</v>
      </c>
    </row>
    <row r="43" customFormat="false" ht="15" hidden="false" customHeight="false" outlineLevel="0" collapsed="false">
      <c r="A43" s="2" t="s">
        <v>116</v>
      </c>
      <c r="B43" s="2" t="s">
        <v>117</v>
      </c>
      <c r="C43" s="2" t="s">
        <v>28</v>
      </c>
      <c r="D43" s="2" t="s">
        <v>29</v>
      </c>
      <c r="E43" s="2" t="s">
        <v>30</v>
      </c>
      <c r="F43" s="2" t="n">
        <v>2.052</v>
      </c>
      <c r="G43" s="3" t="n">
        <f aca="false">F43*3600/Parameters!$B$2</f>
        <v>61.56</v>
      </c>
      <c r="H43" s="2" t="n">
        <v>0.149</v>
      </c>
      <c r="I43" s="3" t="n">
        <f aca="false">ABS(G43-G42)</f>
        <v>0.449999999999996</v>
      </c>
      <c r="J43" s="3" t="n">
        <f aca="false">SPC_Summary!$B$3</f>
        <v>62.0025</v>
      </c>
      <c r="K43" s="3" t="n">
        <f aca="false">SPC_Summary!$B$7</f>
        <v>63.967429679048</v>
      </c>
      <c r="L43" s="3" t="n">
        <f aca="false">SPC_Summary!$B$6</f>
        <v>60.037570320952</v>
      </c>
      <c r="M43" s="3" t="str">
        <f aca="false">IF(OR(G43&gt;K43,G43&lt;L43),"Outside","Within")</f>
        <v>Within</v>
      </c>
    </row>
    <row r="44" customFormat="false" ht="15" hidden="false" customHeight="false" outlineLevel="0" collapsed="false">
      <c r="A44" s="2" t="s">
        <v>118</v>
      </c>
      <c r="B44" s="2" t="s">
        <v>119</v>
      </c>
      <c r="C44" s="2" t="s">
        <v>28</v>
      </c>
      <c r="D44" s="2" t="s">
        <v>47</v>
      </c>
      <c r="E44" s="2" t="s">
        <v>30</v>
      </c>
      <c r="F44" s="2" t="n">
        <v>2.065</v>
      </c>
      <c r="G44" s="3" t="n">
        <f aca="false">F44*3600/Parameters!$B$2</f>
        <v>61.95</v>
      </c>
      <c r="H44" s="2" t="n">
        <v>0.185</v>
      </c>
      <c r="I44" s="3" t="n">
        <f aca="false">ABS(G44-G43)</f>
        <v>0.390000000000008</v>
      </c>
      <c r="J44" s="3" t="n">
        <f aca="false">SPC_Summary!$B$3</f>
        <v>62.0025</v>
      </c>
      <c r="K44" s="3" t="n">
        <f aca="false">SPC_Summary!$B$7</f>
        <v>63.967429679048</v>
      </c>
      <c r="L44" s="3" t="n">
        <f aca="false">SPC_Summary!$B$6</f>
        <v>60.037570320952</v>
      </c>
      <c r="M44" s="3" t="str">
        <f aca="false">IF(OR(G44&gt;K44,G44&lt;L44),"Outside","Within")</f>
        <v>Within</v>
      </c>
    </row>
    <row r="45" customFormat="false" ht="15" hidden="false" customHeight="false" outlineLevel="0" collapsed="false">
      <c r="A45" s="2" t="s">
        <v>120</v>
      </c>
      <c r="B45" s="2" t="s">
        <v>121</v>
      </c>
      <c r="C45" s="2" t="s">
        <v>28</v>
      </c>
      <c r="D45" s="2" t="s">
        <v>47</v>
      </c>
      <c r="E45" s="2" t="s">
        <v>30</v>
      </c>
      <c r="F45" s="2" t="n">
        <v>2.038</v>
      </c>
      <c r="G45" s="3" t="n">
        <f aca="false">F45*3600/Parameters!$B$2</f>
        <v>61.14</v>
      </c>
      <c r="H45" s="2" t="n">
        <v>0.198</v>
      </c>
      <c r="I45" s="3" t="n">
        <f aca="false">ABS(G45-G44)</f>
        <v>0.810000000000009</v>
      </c>
      <c r="J45" s="3" t="n">
        <f aca="false">SPC_Summary!$B$3</f>
        <v>62.0025</v>
      </c>
      <c r="K45" s="3" t="n">
        <f aca="false">SPC_Summary!$B$7</f>
        <v>63.967429679048</v>
      </c>
      <c r="L45" s="3" t="n">
        <f aca="false">SPC_Summary!$B$6</f>
        <v>60.037570320952</v>
      </c>
      <c r="M45" s="3" t="str">
        <f aca="false">IF(OR(G45&gt;K45,G45&lt;L45),"Outside","Within")</f>
        <v>Within</v>
      </c>
    </row>
    <row r="46" customFormat="false" ht="15" hidden="false" customHeight="false" outlineLevel="0" collapsed="false">
      <c r="A46" s="2" t="s">
        <v>122</v>
      </c>
      <c r="B46" s="2" t="s">
        <v>123</v>
      </c>
      <c r="C46" s="2" t="s">
        <v>28</v>
      </c>
      <c r="D46" s="2" t="s">
        <v>47</v>
      </c>
      <c r="E46" s="2" t="s">
        <v>30</v>
      </c>
      <c r="F46" s="2" t="n">
        <v>2.077</v>
      </c>
      <c r="G46" s="3" t="n">
        <f aca="false">F46*3600/Parameters!$B$2</f>
        <v>62.31</v>
      </c>
      <c r="H46" s="2" t="n">
        <v>0.173</v>
      </c>
      <c r="I46" s="3" t="n">
        <f aca="false">ABS(G46-G45)</f>
        <v>1.17</v>
      </c>
      <c r="J46" s="3" t="n">
        <f aca="false">SPC_Summary!$B$3</f>
        <v>62.0025</v>
      </c>
      <c r="K46" s="3" t="n">
        <f aca="false">SPC_Summary!$B$7</f>
        <v>63.967429679048</v>
      </c>
      <c r="L46" s="3" t="n">
        <f aca="false">SPC_Summary!$B$6</f>
        <v>60.037570320952</v>
      </c>
      <c r="M46" s="3" t="str">
        <f aca="false">IF(OR(G46&gt;K46,G46&lt;L46),"Outside","Within")</f>
        <v>Within</v>
      </c>
    </row>
    <row r="47" customFormat="false" ht="15" hidden="false" customHeight="false" outlineLevel="0" collapsed="false">
      <c r="A47" s="2" t="s">
        <v>124</v>
      </c>
      <c r="B47" s="2" t="s">
        <v>125</v>
      </c>
      <c r="C47" s="2" t="s">
        <v>28</v>
      </c>
      <c r="D47" s="2" t="s">
        <v>47</v>
      </c>
      <c r="E47" s="2" t="s">
        <v>30</v>
      </c>
      <c r="F47" s="2" t="n">
        <v>2.101</v>
      </c>
      <c r="G47" s="3" t="n">
        <f aca="false">F47*3600/Parameters!$B$2</f>
        <v>63.03</v>
      </c>
      <c r="H47" s="2" t="n">
        <v>0.189</v>
      </c>
      <c r="I47" s="3" t="n">
        <f aca="false">ABS(G47-G46)</f>
        <v>0.720000000000006</v>
      </c>
      <c r="J47" s="3" t="n">
        <f aca="false">SPC_Summary!$B$3</f>
        <v>62.0025</v>
      </c>
      <c r="K47" s="3" t="n">
        <f aca="false">SPC_Summary!$B$7</f>
        <v>63.967429679048</v>
      </c>
      <c r="L47" s="3" t="n">
        <f aca="false">SPC_Summary!$B$6</f>
        <v>60.037570320952</v>
      </c>
      <c r="M47" s="3" t="str">
        <f aca="false">IF(OR(G47&gt;K47,G47&lt;L47),"Outside","Within")</f>
        <v>Within</v>
      </c>
    </row>
    <row r="48" customFormat="false" ht="15" hidden="false" customHeight="false" outlineLevel="0" collapsed="false">
      <c r="A48" s="2" t="s">
        <v>126</v>
      </c>
      <c r="B48" s="2" t="s">
        <v>127</v>
      </c>
      <c r="C48" s="2" t="s">
        <v>28</v>
      </c>
      <c r="D48" s="2" t="s">
        <v>47</v>
      </c>
      <c r="E48" s="2" t="s">
        <v>30</v>
      </c>
      <c r="F48" s="2" t="n">
        <v>2.043</v>
      </c>
      <c r="G48" s="3" t="n">
        <f aca="false">F48*3600/Parameters!$B$2</f>
        <v>61.29</v>
      </c>
      <c r="H48" s="2" t="n">
        <v>0.189</v>
      </c>
      <c r="I48" s="3" t="n">
        <f aca="false">ABS(G48-G47)</f>
        <v>1.74</v>
      </c>
      <c r="J48" s="3" t="n">
        <f aca="false">SPC_Summary!$B$3</f>
        <v>62.0025</v>
      </c>
      <c r="K48" s="3" t="n">
        <f aca="false">SPC_Summary!$B$7</f>
        <v>63.967429679048</v>
      </c>
      <c r="L48" s="3" t="n">
        <f aca="false">SPC_Summary!$B$6</f>
        <v>60.037570320952</v>
      </c>
      <c r="M48" s="3" t="str">
        <f aca="false">IF(OR(G48&gt;K48,G48&lt;L48),"Outside","Within")</f>
        <v>Within</v>
      </c>
    </row>
    <row r="49" customFormat="false" ht="15" hidden="false" customHeight="false" outlineLevel="0" collapsed="false">
      <c r="A49" s="2" t="s">
        <v>128</v>
      </c>
      <c r="B49" s="2" t="s">
        <v>129</v>
      </c>
      <c r="C49" s="2" t="s">
        <v>28</v>
      </c>
      <c r="D49" s="2" t="s">
        <v>47</v>
      </c>
      <c r="E49" s="2" t="s">
        <v>30</v>
      </c>
      <c r="F49" s="2" t="n">
        <v>2.082</v>
      </c>
      <c r="G49" s="3" t="n">
        <f aca="false">F49*3600/Parameters!$B$2</f>
        <v>62.46</v>
      </c>
      <c r="H49" s="2" t="n">
        <v>0.152</v>
      </c>
      <c r="I49" s="3" t="n">
        <f aca="false">ABS(G49-G48)</f>
        <v>1.17</v>
      </c>
      <c r="J49" s="3" t="n">
        <f aca="false">SPC_Summary!$B$3</f>
        <v>62.0025</v>
      </c>
      <c r="K49" s="3" t="n">
        <f aca="false">SPC_Summary!$B$7</f>
        <v>63.967429679048</v>
      </c>
      <c r="L49" s="3" t="n">
        <f aca="false">SPC_Summary!$B$6</f>
        <v>60.037570320952</v>
      </c>
      <c r="M49" s="3" t="str">
        <f aca="false">IF(OR(G49&gt;K49,G49&lt;L49),"Outside","Within")</f>
        <v>Within</v>
      </c>
    </row>
    <row r="50" customFormat="false" ht="15" hidden="false" customHeight="false" outlineLevel="0" collapsed="false">
      <c r="A50" s="2" t="s">
        <v>130</v>
      </c>
      <c r="B50" s="2" t="s">
        <v>131</v>
      </c>
      <c r="C50" s="2" t="s">
        <v>28</v>
      </c>
      <c r="D50" s="2" t="s">
        <v>29</v>
      </c>
      <c r="E50" s="2" t="s">
        <v>30</v>
      </c>
      <c r="F50" s="2" t="n">
        <v>2.083</v>
      </c>
      <c r="G50" s="3" t="n">
        <f aca="false">F50*3600/Parameters!$B$2</f>
        <v>62.49</v>
      </c>
      <c r="H50" s="2" t="n">
        <v>0.18</v>
      </c>
      <c r="I50" s="3" t="n">
        <f aca="false">ABS(G50-G49)</f>
        <v>0.0300000000000082</v>
      </c>
      <c r="J50" s="3" t="n">
        <f aca="false">SPC_Summary!$B$3</f>
        <v>62.0025</v>
      </c>
      <c r="K50" s="3" t="n">
        <f aca="false">SPC_Summary!$B$7</f>
        <v>63.967429679048</v>
      </c>
      <c r="L50" s="3" t="n">
        <f aca="false">SPC_Summary!$B$6</f>
        <v>60.037570320952</v>
      </c>
      <c r="M50" s="3" t="str">
        <f aca="false">IF(OR(G50&gt;K50,G50&lt;L50),"Outside","Within")</f>
        <v>Within</v>
      </c>
    </row>
    <row r="51" customFormat="false" ht="15" hidden="false" customHeight="false" outlineLevel="0" collapsed="false">
      <c r="A51" s="2" t="s">
        <v>132</v>
      </c>
      <c r="B51" s="2" t="s">
        <v>133</v>
      </c>
      <c r="C51" s="2" t="s">
        <v>28</v>
      </c>
      <c r="D51" s="2" t="s">
        <v>29</v>
      </c>
      <c r="E51" s="2" t="s">
        <v>30</v>
      </c>
      <c r="F51" s="2" t="n">
        <v>2.058</v>
      </c>
      <c r="G51" s="3" t="n">
        <f aca="false">F51*3600/Parameters!$B$2</f>
        <v>61.74</v>
      </c>
      <c r="H51" s="2" t="n">
        <v>0.221</v>
      </c>
      <c r="I51" s="3" t="n">
        <f aca="false">ABS(G51-G50)</f>
        <v>0.750000000000014</v>
      </c>
      <c r="J51" s="3" t="n">
        <f aca="false">SPC_Summary!$B$3</f>
        <v>62.0025</v>
      </c>
      <c r="K51" s="3" t="n">
        <f aca="false">SPC_Summary!$B$7</f>
        <v>63.967429679048</v>
      </c>
      <c r="L51" s="3" t="n">
        <f aca="false">SPC_Summary!$B$6</f>
        <v>60.037570320952</v>
      </c>
      <c r="M51" s="3" t="str">
        <f aca="false">IF(OR(G51&gt;K51,G51&lt;L51),"Outside","Within")</f>
        <v>Within</v>
      </c>
    </row>
    <row r="52" customFormat="false" ht="15" hidden="false" customHeight="false" outlineLevel="0" collapsed="false">
      <c r="A52" s="2" t="s">
        <v>134</v>
      </c>
      <c r="B52" s="2" t="s">
        <v>135</v>
      </c>
      <c r="C52" s="2" t="s">
        <v>28</v>
      </c>
      <c r="D52" s="2" t="s">
        <v>29</v>
      </c>
      <c r="E52" s="2" t="s">
        <v>30</v>
      </c>
      <c r="F52" s="2" t="n">
        <v>2.102</v>
      </c>
      <c r="G52" s="3" t="n">
        <f aca="false">F52*3600/Parameters!$B$2</f>
        <v>63.06</v>
      </c>
      <c r="H52" s="2" t="n">
        <v>0.157</v>
      </c>
      <c r="I52" s="3" t="n">
        <f aca="false">ABS(G52-G51)</f>
        <v>1.32</v>
      </c>
      <c r="J52" s="3" t="n">
        <f aca="false">SPC_Summary!$B$3</f>
        <v>62.0025</v>
      </c>
      <c r="K52" s="3" t="n">
        <f aca="false">SPC_Summary!$B$7</f>
        <v>63.967429679048</v>
      </c>
      <c r="L52" s="3" t="n">
        <f aca="false">SPC_Summary!$B$6</f>
        <v>60.037570320952</v>
      </c>
      <c r="M52" s="3" t="str">
        <f aca="false">IF(OR(G52&gt;K52,G52&lt;L52),"Outside","Within")</f>
        <v>Within</v>
      </c>
    </row>
    <row r="53" customFormat="false" ht="15" hidden="false" customHeight="false" outlineLevel="0" collapsed="false">
      <c r="A53" s="2" t="s">
        <v>136</v>
      </c>
      <c r="B53" s="2" t="s">
        <v>137</v>
      </c>
      <c r="C53" s="2" t="s">
        <v>28</v>
      </c>
      <c r="D53" s="2" t="s">
        <v>29</v>
      </c>
      <c r="E53" s="2" t="s">
        <v>30</v>
      </c>
      <c r="F53" s="2" t="n">
        <v>2.077</v>
      </c>
      <c r="G53" s="3" t="n">
        <f aca="false">F53*3600/Parameters!$B$2</f>
        <v>62.31</v>
      </c>
      <c r="H53" s="2" t="n">
        <v>0.189</v>
      </c>
      <c r="I53" s="3" t="n">
        <f aca="false">ABS(G53-G52)</f>
        <v>0.75</v>
      </c>
      <c r="J53" s="3" t="n">
        <f aca="false">SPC_Summary!$B$3</f>
        <v>62.0025</v>
      </c>
      <c r="K53" s="3" t="n">
        <f aca="false">SPC_Summary!$B$7</f>
        <v>63.967429679048</v>
      </c>
      <c r="L53" s="3" t="n">
        <f aca="false">SPC_Summary!$B$6</f>
        <v>60.037570320952</v>
      </c>
      <c r="M53" s="3" t="str">
        <f aca="false">IF(OR(G53&gt;K53,G53&lt;L53),"Outside","Within")</f>
        <v>Within</v>
      </c>
    </row>
    <row r="54" customFormat="false" ht="15" hidden="false" customHeight="false" outlineLevel="0" collapsed="false">
      <c r="A54" s="2" t="s">
        <v>138</v>
      </c>
      <c r="B54" s="2" t="s">
        <v>139</v>
      </c>
      <c r="C54" s="2" t="s">
        <v>28</v>
      </c>
      <c r="D54" s="2" t="s">
        <v>29</v>
      </c>
      <c r="E54" s="2" t="s">
        <v>30</v>
      </c>
      <c r="F54" s="2" t="n">
        <v>2.051</v>
      </c>
      <c r="G54" s="3" t="n">
        <f aca="false">F54*3600/Parameters!$B$2</f>
        <v>61.53</v>
      </c>
      <c r="H54" s="2" t="n">
        <v>0.172</v>
      </c>
      <c r="I54" s="3" t="n">
        <f aca="false">ABS(G54-G53)</f>
        <v>0.779999999999994</v>
      </c>
      <c r="J54" s="3" t="n">
        <f aca="false">SPC_Summary!$B$3</f>
        <v>62.0025</v>
      </c>
      <c r="K54" s="3" t="n">
        <f aca="false">SPC_Summary!$B$7</f>
        <v>63.967429679048</v>
      </c>
      <c r="L54" s="3" t="n">
        <f aca="false">SPC_Summary!$B$6</f>
        <v>60.037570320952</v>
      </c>
      <c r="M54" s="3" t="str">
        <f aca="false">IF(OR(G54&gt;K54,G54&lt;L54),"Outside","Within")</f>
        <v>Within</v>
      </c>
    </row>
    <row r="55" customFormat="false" ht="15" hidden="false" customHeight="false" outlineLevel="0" collapsed="false">
      <c r="A55" s="2" t="s">
        <v>140</v>
      </c>
      <c r="B55" s="2" t="s">
        <v>141</v>
      </c>
      <c r="C55" s="2" t="s">
        <v>28</v>
      </c>
      <c r="D55" s="2" t="s">
        <v>29</v>
      </c>
      <c r="E55" s="2" t="s">
        <v>30</v>
      </c>
      <c r="F55" s="2" t="n">
        <v>2.03</v>
      </c>
      <c r="G55" s="3" t="n">
        <f aca="false">F55*3600/Parameters!$B$2</f>
        <v>60.9</v>
      </c>
      <c r="H55" s="2" t="n">
        <v>0.18</v>
      </c>
      <c r="I55" s="3" t="n">
        <f aca="false">ABS(G55-G54)</f>
        <v>0.63000000000001</v>
      </c>
      <c r="J55" s="3" t="n">
        <f aca="false">SPC_Summary!$B$3</f>
        <v>62.0025</v>
      </c>
      <c r="K55" s="3" t="n">
        <f aca="false">SPC_Summary!$B$7</f>
        <v>63.967429679048</v>
      </c>
      <c r="L55" s="3" t="n">
        <f aca="false">SPC_Summary!$B$6</f>
        <v>60.037570320952</v>
      </c>
      <c r="M55" s="3" t="str">
        <f aca="false">IF(OR(G55&gt;K55,G55&lt;L55),"Outside","Within")</f>
        <v>Within</v>
      </c>
    </row>
    <row r="56" customFormat="false" ht="15" hidden="false" customHeight="false" outlineLevel="0" collapsed="false">
      <c r="A56" s="2" t="s">
        <v>142</v>
      </c>
      <c r="B56" s="2" t="s">
        <v>143</v>
      </c>
      <c r="C56" s="2" t="s">
        <v>28</v>
      </c>
      <c r="D56" s="2" t="s">
        <v>47</v>
      </c>
      <c r="E56" s="2" t="s">
        <v>30</v>
      </c>
      <c r="F56" s="2" t="n">
        <v>2.056</v>
      </c>
      <c r="G56" s="3" t="n">
        <f aca="false">F56*3600/Parameters!$B$2</f>
        <v>61.68</v>
      </c>
      <c r="H56" s="2" t="n">
        <v>0.157</v>
      </c>
      <c r="I56" s="3" t="n">
        <f aca="false">ABS(G56-G55)</f>
        <v>0.780000000000008</v>
      </c>
      <c r="J56" s="3" t="n">
        <f aca="false">SPC_Summary!$B$3</f>
        <v>62.0025</v>
      </c>
      <c r="K56" s="3" t="n">
        <f aca="false">SPC_Summary!$B$7</f>
        <v>63.967429679048</v>
      </c>
      <c r="L56" s="3" t="n">
        <f aca="false">SPC_Summary!$B$6</f>
        <v>60.037570320952</v>
      </c>
      <c r="M56" s="3" t="str">
        <f aca="false">IF(OR(G56&gt;K56,G56&lt;L56),"Outside","Within")</f>
        <v>Within</v>
      </c>
    </row>
    <row r="57" customFormat="false" ht="15" hidden="false" customHeight="false" outlineLevel="0" collapsed="false">
      <c r="A57" s="2" t="s">
        <v>144</v>
      </c>
      <c r="B57" s="2" t="s">
        <v>145</v>
      </c>
      <c r="C57" s="2" t="s">
        <v>28</v>
      </c>
      <c r="D57" s="2" t="s">
        <v>47</v>
      </c>
      <c r="E57" s="2" t="s">
        <v>30</v>
      </c>
      <c r="F57" s="2" t="n">
        <v>2.063</v>
      </c>
      <c r="G57" s="3" t="n">
        <f aca="false">F57*3600/Parameters!$B$2</f>
        <v>61.89</v>
      </c>
      <c r="H57" s="2" t="n">
        <v>0.19</v>
      </c>
      <c r="I57" s="3" t="n">
        <f aca="false">ABS(G57-G56)</f>
        <v>0.210000000000001</v>
      </c>
      <c r="J57" s="3" t="n">
        <f aca="false">SPC_Summary!$B$3</f>
        <v>62.0025</v>
      </c>
      <c r="K57" s="3" t="n">
        <f aca="false">SPC_Summary!$B$7</f>
        <v>63.967429679048</v>
      </c>
      <c r="L57" s="3" t="n">
        <f aca="false">SPC_Summary!$B$6</f>
        <v>60.037570320952</v>
      </c>
      <c r="M57" s="3" t="str">
        <f aca="false">IF(OR(G57&gt;K57,G57&lt;L57),"Outside","Within")</f>
        <v>Within</v>
      </c>
    </row>
    <row r="58" customFormat="false" ht="15" hidden="false" customHeight="false" outlineLevel="0" collapsed="false">
      <c r="A58" s="2" t="s">
        <v>146</v>
      </c>
      <c r="B58" s="2" t="s">
        <v>147</v>
      </c>
      <c r="C58" s="2" t="s">
        <v>28</v>
      </c>
      <c r="D58" s="2" t="s">
        <v>47</v>
      </c>
      <c r="E58" s="2" t="s">
        <v>30</v>
      </c>
      <c r="F58" s="2" t="n">
        <v>2.019</v>
      </c>
      <c r="G58" s="3" t="n">
        <f aca="false">F58*3600/Parameters!$B$2</f>
        <v>60.57</v>
      </c>
      <c r="H58" s="2" t="n">
        <v>0.178</v>
      </c>
      <c r="I58" s="3" t="n">
        <f aca="false">ABS(G58-G57)</f>
        <v>1.31999999999999</v>
      </c>
      <c r="J58" s="3" t="n">
        <f aca="false">SPC_Summary!$B$3</f>
        <v>62.0025</v>
      </c>
      <c r="K58" s="3" t="n">
        <f aca="false">SPC_Summary!$B$7</f>
        <v>63.967429679048</v>
      </c>
      <c r="L58" s="3" t="n">
        <f aca="false">SPC_Summary!$B$6</f>
        <v>60.037570320952</v>
      </c>
      <c r="M58" s="3" t="str">
        <f aca="false">IF(OR(G58&gt;K58,G58&lt;L58),"Outside","Within")</f>
        <v>Within</v>
      </c>
    </row>
    <row r="59" customFormat="false" ht="15" hidden="false" customHeight="false" outlineLevel="0" collapsed="false">
      <c r="A59" s="2" t="s">
        <v>148</v>
      </c>
      <c r="B59" s="2" t="s">
        <v>149</v>
      </c>
      <c r="C59" s="2" t="s">
        <v>28</v>
      </c>
      <c r="D59" s="2" t="s">
        <v>47</v>
      </c>
      <c r="E59" s="2" t="s">
        <v>30</v>
      </c>
      <c r="F59" s="2" t="n">
        <v>2.097</v>
      </c>
      <c r="G59" s="3" t="n">
        <f aca="false">F59*3600/Parameters!$B$2</f>
        <v>62.91</v>
      </c>
      <c r="H59" s="2" t="n">
        <v>0.162</v>
      </c>
      <c r="I59" s="3" t="n">
        <f aca="false">ABS(G59-G58)</f>
        <v>2.33999999999999</v>
      </c>
      <c r="J59" s="3" t="n">
        <f aca="false">SPC_Summary!$B$3</f>
        <v>62.0025</v>
      </c>
      <c r="K59" s="3" t="n">
        <f aca="false">SPC_Summary!$B$7</f>
        <v>63.967429679048</v>
      </c>
      <c r="L59" s="3" t="n">
        <f aca="false">SPC_Summary!$B$6</f>
        <v>60.037570320952</v>
      </c>
      <c r="M59" s="3" t="str">
        <f aca="false">IF(OR(G59&gt;K59,G59&lt;L59),"Outside","Within")</f>
        <v>Within</v>
      </c>
    </row>
    <row r="60" customFormat="false" ht="15" hidden="false" customHeight="false" outlineLevel="0" collapsed="false">
      <c r="A60" s="2" t="s">
        <v>150</v>
      </c>
      <c r="B60" s="2" t="s">
        <v>151</v>
      </c>
      <c r="C60" s="2" t="s">
        <v>28</v>
      </c>
      <c r="D60" s="2" t="s">
        <v>47</v>
      </c>
      <c r="E60" s="2" t="s">
        <v>30</v>
      </c>
      <c r="F60" s="2" t="n">
        <v>2.088</v>
      </c>
      <c r="G60" s="3" t="n">
        <f aca="false">F60*3600/Parameters!$B$2</f>
        <v>62.64</v>
      </c>
      <c r="H60" s="2" t="n">
        <v>0.181</v>
      </c>
      <c r="I60" s="3" t="n">
        <f aca="false">ABS(G60-G59)</f>
        <v>0.269999999999996</v>
      </c>
      <c r="J60" s="3" t="n">
        <f aca="false">SPC_Summary!$B$3</f>
        <v>62.0025</v>
      </c>
      <c r="K60" s="3" t="n">
        <f aca="false">SPC_Summary!$B$7</f>
        <v>63.967429679048</v>
      </c>
      <c r="L60" s="3" t="n">
        <f aca="false">SPC_Summary!$B$6</f>
        <v>60.037570320952</v>
      </c>
      <c r="M60" s="3" t="str">
        <f aca="false">IF(OR(G60&gt;K60,G60&lt;L60),"Outside","Within")</f>
        <v>Within</v>
      </c>
    </row>
    <row r="61" customFormat="false" ht="15" hidden="false" customHeight="false" outlineLevel="0" collapsed="false">
      <c r="A61" s="2" t="s">
        <v>152</v>
      </c>
      <c r="B61" s="2" t="s">
        <v>153</v>
      </c>
      <c r="C61" s="2" t="s">
        <v>28</v>
      </c>
      <c r="D61" s="2" t="s">
        <v>47</v>
      </c>
      <c r="E61" s="2" t="s">
        <v>30</v>
      </c>
      <c r="F61" s="2" t="n">
        <v>2.083</v>
      </c>
      <c r="G61" s="3" t="n">
        <f aca="false">F61*3600/Parameters!$B$2</f>
        <v>62.49</v>
      </c>
      <c r="H61" s="2" t="n">
        <v>0.189</v>
      </c>
      <c r="I61" s="3" t="n">
        <f aca="false">ABS(G61-G60)</f>
        <v>0.149999999999991</v>
      </c>
      <c r="J61" s="3" t="n">
        <f aca="false">SPC_Summary!$B$3</f>
        <v>62.0025</v>
      </c>
      <c r="K61" s="3" t="n">
        <f aca="false">SPC_Summary!$B$7</f>
        <v>63.967429679048</v>
      </c>
      <c r="L61" s="3" t="n">
        <f aca="false">SPC_Summary!$B$6</f>
        <v>60.037570320952</v>
      </c>
      <c r="M61" s="3" t="str">
        <f aca="false">IF(OR(G61&gt;K61,G61&lt;L61),"Outside","Within")</f>
        <v>Within</v>
      </c>
    </row>
    <row r="62" customFormat="false" ht="15" hidden="false" customHeight="false" outlineLevel="0" collapsed="false">
      <c r="A62" s="2" t="s">
        <v>154</v>
      </c>
      <c r="B62" s="2" t="s">
        <v>155</v>
      </c>
      <c r="C62" s="2" t="s">
        <v>156</v>
      </c>
      <c r="D62" s="2" t="s">
        <v>29</v>
      </c>
      <c r="E62" s="2" t="s">
        <v>30</v>
      </c>
      <c r="F62" s="2" t="n">
        <v>2.084</v>
      </c>
      <c r="G62" s="3" t="n">
        <f aca="false">F62*3600/Parameters!$B$2</f>
        <v>62.52</v>
      </c>
      <c r="H62" s="2" t="n">
        <v>0.188</v>
      </c>
      <c r="I62" s="2"/>
      <c r="J62" s="3" t="n">
        <f aca="false">SPC_Summary!$B$3</f>
        <v>62.0025</v>
      </c>
      <c r="K62" s="3" t="n">
        <f aca="false">SPC_Summary!$B$7</f>
        <v>63.967429679048</v>
      </c>
      <c r="L62" s="3" t="n">
        <f aca="false">SPC_Summary!$B$6</f>
        <v>60.037570320952</v>
      </c>
      <c r="M62" s="3" t="str">
        <f aca="false">IF(OR(G62&gt;K62,G62&lt;L62),"Outside","Within")</f>
        <v>Within</v>
      </c>
    </row>
    <row r="63" customFormat="false" ht="15" hidden="false" customHeight="false" outlineLevel="0" collapsed="false">
      <c r="A63" s="2" t="s">
        <v>157</v>
      </c>
      <c r="B63" s="2" t="s">
        <v>158</v>
      </c>
      <c r="C63" s="2" t="s">
        <v>156</v>
      </c>
      <c r="D63" s="2" t="s">
        <v>29</v>
      </c>
      <c r="E63" s="2" t="s">
        <v>30</v>
      </c>
      <c r="F63" s="2" t="n">
        <v>2.051</v>
      </c>
      <c r="G63" s="3" t="n">
        <f aca="false">F63*3600/Parameters!$B$2</f>
        <v>61.53</v>
      </c>
      <c r="H63" s="2" t="n">
        <v>0.183</v>
      </c>
      <c r="I63" s="2"/>
      <c r="J63" s="3" t="n">
        <f aca="false">SPC_Summary!$B$3</f>
        <v>62.0025</v>
      </c>
      <c r="K63" s="3" t="n">
        <f aca="false">SPC_Summary!$B$7</f>
        <v>63.967429679048</v>
      </c>
      <c r="L63" s="3" t="n">
        <f aca="false">SPC_Summary!$B$6</f>
        <v>60.037570320952</v>
      </c>
      <c r="M63" s="3" t="str">
        <f aca="false">IF(OR(G63&gt;K63,G63&lt;L63),"Outside","Within")</f>
        <v>Within</v>
      </c>
    </row>
    <row r="64" customFormat="false" ht="15" hidden="false" customHeight="false" outlineLevel="0" collapsed="false">
      <c r="A64" s="2" t="s">
        <v>159</v>
      </c>
      <c r="B64" s="2" t="s">
        <v>160</v>
      </c>
      <c r="C64" s="2" t="s">
        <v>156</v>
      </c>
      <c r="D64" s="2" t="s">
        <v>29</v>
      </c>
      <c r="E64" s="2" t="s">
        <v>30</v>
      </c>
      <c r="F64" s="2" t="n">
        <v>2.032</v>
      </c>
      <c r="G64" s="3" t="n">
        <f aca="false">F64*3600/Parameters!$B$2</f>
        <v>60.96</v>
      </c>
      <c r="H64" s="2" t="n">
        <v>0.196</v>
      </c>
      <c r="I64" s="2"/>
      <c r="J64" s="3" t="n">
        <f aca="false">SPC_Summary!$B$3</f>
        <v>62.0025</v>
      </c>
      <c r="K64" s="3" t="n">
        <f aca="false">SPC_Summary!$B$7</f>
        <v>63.967429679048</v>
      </c>
      <c r="L64" s="3" t="n">
        <f aca="false">SPC_Summary!$B$6</f>
        <v>60.037570320952</v>
      </c>
      <c r="M64" s="3" t="str">
        <f aca="false">IF(OR(G64&gt;K64,G64&lt;L64),"Outside","Within")</f>
        <v>Within</v>
      </c>
    </row>
    <row r="65" customFormat="false" ht="15" hidden="false" customHeight="false" outlineLevel="0" collapsed="false">
      <c r="A65" s="2" t="s">
        <v>161</v>
      </c>
      <c r="B65" s="2" t="s">
        <v>162</v>
      </c>
      <c r="C65" s="2" t="s">
        <v>156</v>
      </c>
      <c r="D65" s="2" t="s">
        <v>29</v>
      </c>
      <c r="E65" s="2" t="s">
        <v>30</v>
      </c>
      <c r="F65" s="2" t="n">
        <v>2.039</v>
      </c>
      <c r="G65" s="3" t="n">
        <f aca="false">F65*3600/Parameters!$B$2</f>
        <v>61.17</v>
      </c>
      <c r="H65" s="2" t="n">
        <v>0.196</v>
      </c>
      <c r="I65" s="2"/>
      <c r="J65" s="3" t="n">
        <f aca="false">SPC_Summary!$B$3</f>
        <v>62.0025</v>
      </c>
      <c r="K65" s="3" t="n">
        <f aca="false">SPC_Summary!$B$7</f>
        <v>63.967429679048</v>
      </c>
      <c r="L65" s="3" t="n">
        <f aca="false">SPC_Summary!$B$6</f>
        <v>60.037570320952</v>
      </c>
      <c r="M65" s="3" t="str">
        <f aca="false">IF(OR(G65&gt;K65,G65&lt;L65),"Outside","Within")</f>
        <v>Within</v>
      </c>
    </row>
    <row r="66" customFormat="false" ht="15" hidden="false" customHeight="false" outlineLevel="0" collapsed="false">
      <c r="A66" s="2" t="s">
        <v>163</v>
      </c>
      <c r="B66" s="2" t="s">
        <v>164</v>
      </c>
      <c r="C66" s="2" t="s">
        <v>156</v>
      </c>
      <c r="D66" s="2" t="s">
        <v>29</v>
      </c>
      <c r="E66" s="2" t="s">
        <v>30</v>
      </c>
      <c r="F66" s="2" t="n">
        <v>2.066</v>
      </c>
      <c r="G66" s="3" t="n">
        <f aca="false">F66*3600/Parameters!$B$2</f>
        <v>61.98</v>
      </c>
      <c r="H66" s="2" t="n">
        <v>0.201</v>
      </c>
      <c r="I66" s="2"/>
      <c r="J66" s="3" t="n">
        <f aca="false">SPC_Summary!$B$3</f>
        <v>62.0025</v>
      </c>
      <c r="K66" s="3" t="n">
        <f aca="false">SPC_Summary!$B$7</f>
        <v>63.967429679048</v>
      </c>
      <c r="L66" s="3" t="n">
        <f aca="false">SPC_Summary!$B$6</f>
        <v>60.037570320952</v>
      </c>
      <c r="M66" s="3" t="str">
        <f aca="false">IF(OR(G66&gt;K66,G66&lt;L66),"Outside","Within")</f>
        <v>Within</v>
      </c>
    </row>
    <row r="67" customFormat="false" ht="15" hidden="false" customHeight="false" outlineLevel="0" collapsed="false">
      <c r="A67" s="2" t="s">
        <v>165</v>
      </c>
      <c r="B67" s="2" t="s">
        <v>166</v>
      </c>
      <c r="C67" s="2" t="s">
        <v>156</v>
      </c>
      <c r="D67" s="2" t="s">
        <v>29</v>
      </c>
      <c r="E67" s="2" t="s">
        <v>30</v>
      </c>
      <c r="F67" s="2" t="n">
        <v>2.058</v>
      </c>
      <c r="G67" s="3" t="n">
        <f aca="false">F67*3600/Parameters!$B$2</f>
        <v>61.74</v>
      </c>
      <c r="H67" s="2" t="n">
        <v>0.202</v>
      </c>
      <c r="I67" s="2"/>
      <c r="J67" s="3" t="n">
        <f aca="false">SPC_Summary!$B$3</f>
        <v>62.0025</v>
      </c>
      <c r="K67" s="3" t="n">
        <f aca="false">SPC_Summary!$B$7</f>
        <v>63.967429679048</v>
      </c>
      <c r="L67" s="3" t="n">
        <f aca="false">SPC_Summary!$B$6</f>
        <v>60.037570320952</v>
      </c>
      <c r="M67" s="3" t="str">
        <f aca="false">IF(OR(G67&gt;K67,G67&lt;L67),"Outside","Within")</f>
        <v>Within</v>
      </c>
    </row>
    <row r="68" customFormat="false" ht="15" hidden="false" customHeight="false" outlineLevel="0" collapsed="false">
      <c r="A68" s="2" t="s">
        <v>167</v>
      </c>
      <c r="B68" s="2" t="s">
        <v>168</v>
      </c>
      <c r="C68" s="2" t="s">
        <v>156</v>
      </c>
      <c r="D68" s="2" t="s">
        <v>47</v>
      </c>
      <c r="E68" s="2" t="s">
        <v>30</v>
      </c>
      <c r="F68" s="2" t="n">
        <v>2.077</v>
      </c>
      <c r="G68" s="3" t="n">
        <f aca="false">F68*3600/Parameters!$B$2</f>
        <v>62.31</v>
      </c>
      <c r="H68" s="2" t="n">
        <v>0.177</v>
      </c>
      <c r="I68" s="2"/>
      <c r="J68" s="3" t="n">
        <f aca="false">SPC_Summary!$B$3</f>
        <v>62.0025</v>
      </c>
      <c r="K68" s="3" t="n">
        <f aca="false">SPC_Summary!$B$7</f>
        <v>63.967429679048</v>
      </c>
      <c r="L68" s="3" t="n">
        <f aca="false">SPC_Summary!$B$6</f>
        <v>60.037570320952</v>
      </c>
      <c r="M68" s="3" t="str">
        <f aca="false">IF(OR(G68&gt;K68,G68&lt;L68),"Outside","Within")</f>
        <v>Within</v>
      </c>
    </row>
    <row r="69" customFormat="false" ht="15" hidden="false" customHeight="false" outlineLevel="0" collapsed="false">
      <c r="A69" s="2" t="s">
        <v>172</v>
      </c>
      <c r="B69" s="2" t="s">
        <v>173</v>
      </c>
      <c r="C69" s="2" t="s">
        <v>156</v>
      </c>
      <c r="D69" s="2" t="s">
        <v>47</v>
      </c>
      <c r="E69" s="2" t="s">
        <v>30</v>
      </c>
      <c r="F69" s="2" t="n">
        <v>2.05</v>
      </c>
      <c r="G69" s="3" t="n">
        <f aca="false">F69*3600/Parameters!$B$2</f>
        <v>61.5</v>
      </c>
      <c r="H69" s="2" t="n">
        <v>0.189</v>
      </c>
      <c r="I69" s="2"/>
      <c r="J69" s="3" t="n">
        <f aca="false">SPC_Summary!$B$3</f>
        <v>62.0025</v>
      </c>
      <c r="K69" s="3" t="n">
        <f aca="false">SPC_Summary!$B$7</f>
        <v>63.967429679048</v>
      </c>
      <c r="L69" s="3" t="n">
        <f aca="false">SPC_Summary!$B$6</f>
        <v>60.037570320952</v>
      </c>
      <c r="M69" s="3" t="str">
        <f aca="false">IF(OR(G69&gt;K69,G69&lt;L69),"Outside","Within")</f>
        <v>Within</v>
      </c>
    </row>
    <row r="70" customFormat="false" ht="15" hidden="false" customHeight="false" outlineLevel="0" collapsed="false">
      <c r="A70" s="2" t="s">
        <v>174</v>
      </c>
      <c r="B70" s="2" t="s">
        <v>175</v>
      </c>
      <c r="C70" s="2" t="s">
        <v>156</v>
      </c>
      <c r="D70" s="2" t="s">
        <v>47</v>
      </c>
      <c r="E70" s="2" t="s">
        <v>30</v>
      </c>
      <c r="F70" s="2" t="n">
        <v>2.032</v>
      </c>
      <c r="G70" s="3" t="n">
        <f aca="false">F70*3600/Parameters!$B$2</f>
        <v>60.96</v>
      </c>
      <c r="H70" s="2" t="n">
        <v>0.163</v>
      </c>
      <c r="I70" s="2"/>
      <c r="J70" s="3" t="n">
        <f aca="false">SPC_Summary!$B$3</f>
        <v>62.0025</v>
      </c>
      <c r="K70" s="3" t="n">
        <f aca="false">SPC_Summary!$B$7</f>
        <v>63.967429679048</v>
      </c>
      <c r="L70" s="3" t="n">
        <f aca="false">SPC_Summary!$B$6</f>
        <v>60.037570320952</v>
      </c>
      <c r="M70" s="3" t="str">
        <f aca="false">IF(OR(G70&gt;K70,G70&lt;L70),"Outside","Within")</f>
        <v>Within</v>
      </c>
    </row>
    <row r="71" customFormat="false" ht="15" hidden="false" customHeight="false" outlineLevel="0" collapsed="false">
      <c r="A71" s="2" t="s">
        <v>176</v>
      </c>
      <c r="B71" s="2" t="s">
        <v>177</v>
      </c>
      <c r="C71" s="2" t="s">
        <v>156</v>
      </c>
      <c r="D71" s="2" t="s">
        <v>47</v>
      </c>
      <c r="E71" s="2" t="s">
        <v>30</v>
      </c>
      <c r="F71" s="2" t="n">
        <v>2.104</v>
      </c>
      <c r="G71" s="3" t="n">
        <f aca="false">F71*3600/Parameters!$B$2</f>
        <v>63.12</v>
      </c>
      <c r="H71" s="2" t="n">
        <v>0.188</v>
      </c>
      <c r="I71" s="2"/>
      <c r="J71" s="3" t="n">
        <f aca="false">SPC_Summary!$B$3</f>
        <v>62.0025</v>
      </c>
      <c r="K71" s="3" t="n">
        <f aca="false">SPC_Summary!$B$7</f>
        <v>63.967429679048</v>
      </c>
      <c r="L71" s="3" t="n">
        <f aca="false">SPC_Summary!$B$6</f>
        <v>60.037570320952</v>
      </c>
      <c r="M71" s="3" t="str">
        <f aca="false">IF(OR(G71&gt;K71,G71&lt;L71),"Outside","Within")</f>
        <v>Within</v>
      </c>
    </row>
    <row r="72" customFormat="false" ht="15" hidden="false" customHeight="false" outlineLevel="0" collapsed="false">
      <c r="A72" s="2" t="s">
        <v>178</v>
      </c>
      <c r="B72" s="2" t="s">
        <v>179</v>
      </c>
      <c r="C72" s="2" t="s">
        <v>156</v>
      </c>
      <c r="D72" s="2" t="s">
        <v>47</v>
      </c>
      <c r="E72" s="2" t="s">
        <v>30</v>
      </c>
      <c r="F72" s="2" t="n">
        <v>2.07</v>
      </c>
      <c r="G72" s="3" t="n">
        <f aca="false">F72*3600/Parameters!$B$2</f>
        <v>62.1</v>
      </c>
      <c r="H72" s="2" t="n">
        <v>0.21</v>
      </c>
      <c r="I72" s="2"/>
      <c r="J72" s="3" t="n">
        <f aca="false">SPC_Summary!$B$3</f>
        <v>62.0025</v>
      </c>
      <c r="K72" s="3" t="n">
        <f aca="false">SPC_Summary!$B$7</f>
        <v>63.967429679048</v>
      </c>
      <c r="L72" s="3" t="n">
        <f aca="false">SPC_Summary!$B$6</f>
        <v>60.037570320952</v>
      </c>
      <c r="M72" s="3" t="str">
        <f aca="false">IF(OR(G72&gt;K72,G72&lt;L72),"Outside","Within")</f>
        <v>Within</v>
      </c>
    </row>
    <row r="73" customFormat="false" ht="15" hidden="false" customHeight="false" outlineLevel="0" collapsed="false">
      <c r="A73" s="2" t="s">
        <v>180</v>
      </c>
      <c r="B73" s="2" t="s">
        <v>181</v>
      </c>
      <c r="C73" s="2" t="s">
        <v>156</v>
      </c>
      <c r="D73" s="2" t="s">
        <v>29</v>
      </c>
      <c r="E73" s="2" t="s">
        <v>30</v>
      </c>
      <c r="F73" s="2" t="n">
        <v>1.929</v>
      </c>
      <c r="G73" s="3" t="n">
        <f aca="false">F73*3600/Parameters!$B$2</f>
        <v>57.87</v>
      </c>
      <c r="H73" s="2" t="n">
        <v>0.434</v>
      </c>
      <c r="I73" s="2"/>
      <c r="J73" s="3" t="n">
        <f aca="false">SPC_Summary!$B$3</f>
        <v>62.0025</v>
      </c>
      <c r="K73" s="3" t="n">
        <f aca="false">SPC_Summary!$B$7</f>
        <v>63.967429679048</v>
      </c>
      <c r="L73" s="3" t="n">
        <f aca="false">SPC_Summary!$B$6</f>
        <v>60.037570320952</v>
      </c>
      <c r="M73" s="3" t="str">
        <f aca="false">IF(OR(G73&gt;K73,G73&lt;L73),"Outside","Within")</f>
        <v>Outside</v>
      </c>
    </row>
    <row r="74" customFormat="false" ht="15" hidden="false" customHeight="false" outlineLevel="0" collapsed="false">
      <c r="A74" s="2" t="s">
        <v>182</v>
      </c>
      <c r="B74" s="2" t="s">
        <v>183</v>
      </c>
      <c r="C74" s="2" t="s">
        <v>156</v>
      </c>
      <c r="D74" s="2" t="s">
        <v>29</v>
      </c>
      <c r="E74" s="2" t="s">
        <v>30</v>
      </c>
      <c r="F74" s="2" t="n">
        <v>1.97</v>
      </c>
      <c r="G74" s="3" t="n">
        <f aca="false">F74*3600/Parameters!$B$2</f>
        <v>59.1</v>
      </c>
      <c r="H74" s="2" t="n">
        <v>0.389</v>
      </c>
      <c r="I74" s="2"/>
      <c r="J74" s="3" t="n">
        <f aca="false">SPC_Summary!$B$3</f>
        <v>62.0025</v>
      </c>
      <c r="K74" s="3" t="n">
        <f aca="false">SPC_Summary!$B$7</f>
        <v>63.967429679048</v>
      </c>
      <c r="L74" s="3" t="n">
        <f aca="false">SPC_Summary!$B$6</f>
        <v>60.037570320952</v>
      </c>
      <c r="M74" s="3" t="str">
        <f aca="false">IF(OR(G74&gt;K74,G74&lt;L74),"Outside","Within")</f>
        <v>Outside</v>
      </c>
    </row>
    <row r="75" customFormat="false" ht="15" hidden="false" customHeight="false" outlineLevel="0" collapsed="false">
      <c r="A75" s="2" t="s">
        <v>184</v>
      </c>
      <c r="B75" s="2" t="s">
        <v>185</v>
      </c>
      <c r="C75" s="2" t="s">
        <v>156</v>
      </c>
      <c r="D75" s="2" t="s">
        <v>29</v>
      </c>
      <c r="E75" s="2" t="s">
        <v>30</v>
      </c>
      <c r="F75" s="2" t="n">
        <v>1.915</v>
      </c>
      <c r="G75" s="3" t="n">
        <f aca="false">F75*3600/Parameters!$B$2</f>
        <v>57.45</v>
      </c>
      <c r="H75" s="2" t="n">
        <v>0.417</v>
      </c>
      <c r="I75" s="2"/>
      <c r="J75" s="3" t="n">
        <f aca="false">SPC_Summary!$B$3</f>
        <v>62.0025</v>
      </c>
      <c r="K75" s="3" t="n">
        <f aca="false">SPC_Summary!$B$7</f>
        <v>63.967429679048</v>
      </c>
      <c r="L75" s="3" t="n">
        <f aca="false">SPC_Summary!$B$6</f>
        <v>60.037570320952</v>
      </c>
      <c r="M75" s="3" t="str">
        <f aca="false">IF(OR(G75&gt;K75,G75&lt;L75),"Outside","Within")</f>
        <v>Outside</v>
      </c>
    </row>
    <row r="76" customFormat="false" ht="15" hidden="false" customHeight="false" outlineLevel="0" collapsed="false">
      <c r="A76" s="2" t="s">
        <v>186</v>
      </c>
      <c r="B76" s="2" t="s">
        <v>187</v>
      </c>
      <c r="C76" s="2" t="s">
        <v>156</v>
      </c>
      <c r="D76" s="2" t="s">
        <v>29</v>
      </c>
      <c r="E76" s="2" t="s">
        <v>30</v>
      </c>
      <c r="F76" s="2" t="n">
        <v>1.927</v>
      </c>
      <c r="G76" s="3" t="n">
        <f aca="false">F76*3600/Parameters!$B$2</f>
        <v>57.81</v>
      </c>
      <c r="H76" s="2" t="n">
        <v>0.398</v>
      </c>
      <c r="I76" s="2"/>
      <c r="J76" s="3" t="n">
        <f aca="false">SPC_Summary!$B$3</f>
        <v>62.0025</v>
      </c>
      <c r="K76" s="3" t="n">
        <f aca="false">SPC_Summary!$B$7</f>
        <v>63.967429679048</v>
      </c>
      <c r="L76" s="3" t="n">
        <f aca="false">SPC_Summary!$B$6</f>
        <v>60.037570320952</v>
      </c>
      <c r="M76" s="3" t="str">
        <f aca="false">IF(OR(G76&gt;K76,G76&lt;L76),"Outside","Within")</f>
        <v>Outside</v>
      </c>
    </row>
    <row r="77" customFormat="false" ht="15" hidden="false" customHeight="false" outlineLevel="0" collapsed="false">
      <c r="A77" s="2" t="s">
        <v>188</v>
      </c>
      <c r="B77" s="2" t="s">
        <v>189</v>
      </c>
      <c r="C77" s="2" t="s">
        <v>156</v>
      </c>
      <c r="D77" s="2" t="s">
        <v>29</v>
      </c>
      <c r="E77" s="2" t="s">
        <v>30</v>
      </c>
      <c r="F77" s="2" t="n">
        <v>1.907</v>
      </c>
      <c r="G77" s="3" t="n">
        <f aca="false">F77*3600/Parameters!$B$2</f>
        <v>57.21</v>
      </c>
      <c r="H77" s="2" t="n">
        <v>0.425</v>
      </c>
      <c r="I77" s="2"/>
      <c r="J77" s="3" t="n">
        <f aca="false">SPC_Summary!$B$3</f>
        <v>62.0025</v>
      </c>
      <c r="K77" s="3" t="n">
        <f aca="false">SPC_Summary!$B$7</f>
        <v>63.967429679048</v>
      </c>
      <c r="L77" s="3" t="n">
        <f aca="false">SPC_Summary!$B$6</f>
        <v>60.037570320952</v>
      </c>
      <c r="M77" s="3" t="str">
        <f aca="false">IF(OR(G77&gt;K77,G77&lt;L77),"Outside","Within")</f>
        <v>Outside</v>
      </c>
    </row>
    <row r="78" customFormat="false" ht="15" hidden="false" customHeight="false" outlineLevel="0" collapsed="false">
      <c r="A78" s="2" t="s">
        <v>190</v>
      </c>
      <c r="B78" s="2" t="s">
        <v>191</v>
      </c>
      <c r="C78" s="2" t="s">
        <v>156</v>
      </c>
      <c r="D78" s="2" t="s">
        <v>29</v>
      </c>
      <c r="E78" s="2" t="s">
        <v>30</v>
      </c>
      <c r="F78" s="2" t="n">
        <v>1.977</v>
      </c>
      <c r="G78" s="3" t="n">
        <f aca="false">F78*3600/Parameters!$B$2</f>
        <v>59.31</v>
      </c>
      <c r="H78" s="2" t="n">
        <v>0.431</v>
      </c>
      <c r="I78" s="2"/>
      <c r="J78" s="3" t="n">
        <f aca="false">SPC_Summary!$B$3</f>
        <v>62.0025</v>
      </c>
      <c r="K78" s="3" t="n">
        <f aca="false">SPC_Summary!$B$7</f>
        <v>63.967429679048</v>
      </c>
      <c r="L78" s="3" t="n">
        <f aca="false">SPC_Summary!$B$6</f>
        <v>60.037570320952</v>
      </c>
      <c r="M78" s="3" t="str">
        <f aca="false">IF(OR(G78&gt;K78,G78&lt;L78),"Outside","Within")</f>
        <v>Outside</v>
      </c>
    </row>
    <row r="79" customFormat="false" ht="15" hidden="false" customHeight="false" outlineLevel="0" collapsed="false">
      <c r="A79" s="2" t="s">
        <v>192</v>
      </c>
      <c r="B79" s="2" t="s">
        <v>193</v>
      </c>
      <c r="C79" s="2" t="s">
        <v>156</v>
      </c>
      <c r="D79" s="2" t="s">
        <v>47</v>
      </c>
      <c r="E79" s="2" t="s">
        <v>30</v>
      </c>
      <c r="F79" s="2" t="n">
        <v>1.936</v>
      </c>
      <c r="G79" s="3" t="n">
        <f aca="false">F79*3600/Parameters!$B$2</f>
        <v>58.08</v>
      </c>
      <c r="H79" s="2" t="n">
        <v>0.431</v>
      </c>
      <c r="I79" s="2"/>
      <c r="J79" s="3" t="n">
        <f aca="false">SPC_Summary!$B$3</f>
        <v>62.0025</v>
      </c>
      <c r="K79" s="3" t="n">
        <f aca="false">SPC_Summary!$B$7</f>
        <v>63.967429679048</v>
      </c>
      <c r="L79" s="3" t="n">
        <f aca="false">SPC_Summary!$B$6</f>
        <v>60.037570320952</v>
      </c>
      <c r="M79" s="3" t="str">
        <f aca="false">IF(OR(G79&gt;K79,G79&lt;L79),"Outside","Within")</f>
        <v>Outside</v>
      </c>
    </row>
    <row r="80" customFormat="false" ht="15" hidden="false" customHeight="false" outlineLevel="0" collapsed="false">
      <c r="A80" s="2" t="s">
        <v>194</v>
      </c>
      <c r="B80" s="2" t="s">
        <v>195</v>
      </c>
      <c r="C80" s="2" t="s">
        <v>156</v>
      </c>
      <c r="D80" s="2" t="s">
        <v>47</v>
      </c>
      <c r="E80" s="2" t="s">
        <v>30</v>
      </c>
      <c r="F80" s="2" t="n">
        <v>1.904</v>
      </c>
      <c r="G80" s="3" t="n">
        <f aca="false">F80*3600/Parameters!$B$2</f>
        <v>57.12</v>
      </c>
      <c r="H80" s="2" t="n">
        <v>0.422</v>
      </c>
      <c r="I80" s="2"/>
      <c r="J80" s="3" t="n">
        <f aca="false">SPC_Summary!$B$3</f>
        <v>62.0025</v>
      </c>
      <c r="K80" s="3" t="n">
        <f aca="false">SPC_Summary!$B$7</f>
        <v>63.967429679048</v>
      </c>
      <c r="L80" s="3" t="n">
        <f aca="false">SPC_Summary!$B$6</f>
        <v>60.037570320952</v>
      </c>
      <c r="M80" s="3" t="str">
        <f aca="false">IF(OR(G80&gt;K80,G80&lt;L80),"Outside","Within")</f>
        <v>Outside</v>
      </c>
    </row>
    <row r="81" customFormat="false" ht="15" hidden="false" customHeight="false" outlineLevel="0" collapsed="false">
      <c r="A81" s="2" t="s">
        <v>196</v>
      </c>
      <c r="B81" s="2" t="s">
        <v>197</v>
      </c>
      <c r="C81" s="2" t="s">
        <v>156</v>
      </c>
      <c r="D81" s="2" t="s">
        <v>47</v>
      </c>
      <c r="E81" s="2" t="s">
        <v>30</v>
      </c>
      <c r="F81" s="2" t="n">
        <v>1.942</v>
      </c>
      <c r="G81" s="3" t="n">
        <f aca="false">F81*3600/Parameters!$B$2</f>
        <v>58.26</v>
      </c>
      <c r="H81" s="2" t="n">
        <v>0.427</v>
      </c>
      <c r="I81" s="2"/>
      <c r="J81" s="3" t="n">
        <f aca="false">SPC_Summary!$B$3</f>
        <v>62.0025</v>
      </c>
      <c r="K81" s="3" t="n">
        <f aca="false">SPC_Summary!$B$7</f>
        <v>63.967429679048</v>
      </c>
      <c r="L81" s="3" t="n">
        <f aca="false">SPC_Summary!$B$6</f>
        <v>60.037570320952</v>
      </c>
      <c r="M81" s="3" t="str">
        <f aca="false">IF(OR(G81&gt;K81,G81&lt;L81),"Outside","Within")</f>
        <v>Outside</v>
      </c>
    </row>
    <row r="82" customFormat="false" ht="15" hidden="false" customHeight="false" outlineLevel="0" collapsed="false">
      <c r="A82" s="2" t="s">
        <v>198</v>
      </c>
      <c r="B82" s="2" t="s">
        <v>199</v>
      </c>
      <c r="C82" s="2" t="s">
        <v>156</v>
      </c>
      <c r="D82" s="2" t="s">
        <v>47</v>
      </c>
      <c r="E82" s="2" t="s">
        <v>30</v>
      </c>
      <c r="F82" s="2" t="n">
        <v>1.937</v>
      </c>
      <c r="G82" s="3" t="n">
        <f aca="false">F82*3600/Parameters!$B$2</f>
        <v>58.11</v>
      </c>
      <c r="H82" s="2" t="n">
        <v>0.424</v>
      </c>
      <c r="I82" s="2"/>
      <c r="J82" s="3" t="n">
        <f aca="false">SPC_Summary!$B$3</f>
        <v>62.0025</v>
      </c>
      <c r="K82" s="3" t="n">
        <f aca="false">SPC_Summary!$B$7</f>
        <v>63.967429679048</v>
      </c>
      <c r="L82" s="3" t="n">
        <f aca="false">SPC_Summary!$B$6</f>
        <v>60.037570320952</v>
      </c>
      <c r="M82" s="3" t="str">
        <f aca="false">IF(OR(G82&gt;K82,G82&lt;L82),"Outside","Within")</f>
        <v>Outside</v>
      </c>
    </row>
    <row r="83" customFormat="false" ht="15" hidden="false" customHeight="false" outlineLevel="0" collapsed="false">
      <c r="A83" s="2" t="s">
        <v>203</v>
      </c>
      <c r="B83" s="2" t="s">
        <v>204</v>
      </c>
      <c r="C83" s="2" t="s">
        <v>156</v>
      </c>
      <c r="D83" s="2" t="s">
        <v>47</v>
      </c>
      <c r="E83" s="2" t="s">
        <v>30</v>
      </c>
      <c r="F83" s="2" t="n">
        <v>1.929</v>
      </c>
      <c r="G83" s="3" t="n">
        <f aca="false">F83*3600/Parameters!$B$2</f>
        <v>57.87</v>
      </c>
      <c r="H83" s="2" t="n">
        <v>0.427</v>
      </c>
      <c r="I83" s="2"/>
      <c r="J83" s="3" t="n">
        <f aca="false">SPC_Summary!$B$3</f>
        <v>62.0025</v>
      </c>
      <c r="K83" s="3" t="n">
        <f aca="false">SPC_Summary!$B$7</f>
        <v>63.967429679048</v>
      </c>
      <c r="L83" s="3" t="n">
        <f aca="false">SPC_Summary!$B$6</f>
        <v>60.037570320952</v>
      </c>
      <c r="M83" s="3" t="str">
        <f aca="false">IF(OR(G83&gt;K83,G83&lt;L83),"Outside","Within")</f>
        <v>Outside</v>
      </c>
    </row>
    <row r="84" customFormat="false" ht="15" hidden="false" customHeight="false" outlineLevel="0" collapsed="false">
      <c r="A84" s="2" t="s">
        <v>205</v>
      </c>
      <c r="B84" s="2" t="s">
        <v>206</v>
      </c>
      <c r="C84" s="2" t="s">
        <v>156</v>
      </c>
      <c r="D84" s="2" t="s">
        <v>29</v>
      </c>
      <c r="E84" s="2" t="s">
        <v>30</v>
      </c>
      <c r="F84" s="2" t="n">
        <v>1.943</v>
      </c>
      <c r="G84" s="3" t="n">
        <f aca="false">F84*3600/Parameters!$B$2</f>
        <v>58.29</v>
      </c>
      <c r="H84" s="2" t="n">
        <v>0.404</v>
      </c>
      <c r="I84" s="2"/>
      <c r="J84" s="3" t="n">
        <f aca="false">SPC_Summary!$B$3</f>
        <v>62.0025</v>
      </c>
      <c r="K84" s="3" t="n">
        <f aca="false">SPC_Summary!$B$7</f>
        <v>63.967429679048</v>
      </c>
      <c r="L84" s="3" t="n">
        <f aca="false">SPC_Summary!$B$6</f>
        <v>60.037570320952</v>
      </c>
      <c r="M84" s="3" t="str">
        <f aca="false">IF(OR(G84&gt;K84,G84&lt;L84),"Outside","Within")</f>
        <v>Outside</v>
      </c>
    </row>
    <row r="85" customFormat="false" ht="15" hidden="false" customHeight="false" outlineLevel="0" collapsed="false">
      <c r="A85" s="2" t="s">
        <v>207</v>
      </c>
      <c r="B85" s="2" t="s">
        <v>208</v>
      </c>
      <c r="C85" s="2" t="s">
        <v>156</v>
      </c>
      <c r="D85" s="2" t="s">
        <v>29</v>
      </c>
      <c r="E85" s="2" t="s">
        <v>30</v>
      </c>
      <c r="F85" s="2" t="n">
        <v>1.873</v>
      </c>
      <c r="G85" s="3" t="n">
        <f aca="false">F85*3600/Parameters!$B$2</f>
        <v>56.19</v>
      </c>
      <c r="H85" s="2" t="n">
        <v>0.426</v>
      </c>
      <c r="I85" s="2"/>
      <c r="J85" s="3" t="n">
        <f aca="false">SPC_Summary!$B$3</f>
        <v>62.0025</v>
      </c>
      <c r="K85" s="3" t="n">
        <f aca="false">SPC_Summary!$B$7</f>
        <v>63.967429679048</v>
      </c>
      <c r="L85" s="3" t="n">
        <f aca="false">SPC_Summary!$B$6</f>
        <v>60.037570320952</v>
      </c>
      <c r="M85" s="3" t="str">
        <f aca="false">IF(OR(G85&gt;K85,G85&lt;L85),"Outside","Within")</f>
        <v>Outside</v>
      </c>
    </row>
    <row r="86" customFormat="false" ht="15" hidden="false" customHeight="false" outlineLevel="0" collapsed="false">
      <c r="A86" s="2" t="s">
        <v>209</v>
      </c>
      <c r="B86" s="2" t="s">
        <v>210</v>
      </c>
      <c r="C86" s="2" t="s">
        <v>156</v>
      </c>
      <c r="D86" s="2" t="s">
        <v>29</v>
      </c>
      <c r="E86" s="2" t="s">
        <v>30</v>
      </c>
      <c r="F86" s="2" t="n">
        <v>1.921</v>
      </c>
      <c r="G86" s="3" t="n">
        <f aca="false">F86*3600/Parameters!$B$2</f>
        <v>57.63</v>
      </c>
      <c r="H86" s="2" t="n">
        <v>0.406</v>
      </c>
      <c r="I86" s="2"/>
      <c r="J86" s="3" t="n">
        <f aca="false">SPC_Summary!$B$3</f>
        <v>62.0025</v>
      </c>
      <c r="K86" s="3" t="n">
        <f aca="false">SPC_Summary!$B$7</f>
        <v>63.967429679048</v>
      </c>
      <c r="L86" s="3" t="n">
        <f aca="false">SPC_Summary!$B$6</f>
        <v>60.037570320952</v>
      </c>
      <c r="M86" s="3" t="str">
        <f aca="false">IF(OR(G86&gt;K86,G86&lt;L86),"Outside","Within")</f>
        <v>Outside</v>
      </c>
    </row>
    <row r="87" customFormat="false" ht="15" hidden="false" customHeight="false" outlineLevel="0" collapsed="false">
      <c r="A87" s="2" t="s">
        <v>211</v>
      </c>
      <c r="B87" s="2" t="s">
        <v>212</v>
      </c>
      <c r="C87" s="2" t="s">
        <v>156</v>
      </c>
      <c r="D87" s="2" t="s">
        <v>29</v>
      </c>
      <c r="E87" s="2" t="s">
        <v>30</v>
      </c>
      <c r="F87" s="2" t="n">
        <v>1.937</v>
      </c>
      <c r="G87" s="3" t="n">
        <f aca="false">F87*3600/Parameters!$B$2</f>
        <v>58.11</v>
      </c>
      <c r="H87" s="2" t="n">
        <v>0.44</v>
      </c>
      <c r="I87" s="2"/>
      <c r="J87" s="3" t="n">
        <f aca="false">SPC_Summary!$B$3</f>
        <v>62.0025</v>
      </c>
      <c r="K87" s="3" t="n">
        <f aca="false">SPC_Summary!$B$7</f>
        <v>63.967429679048</v>
      </c>
      <c r="L87" s="3" t="n">
        <f aca="false">SPC_Summary!$B$6</f>
        <v>60.037570320952</v>
      </c>
      <c r="M87" s="3" t="str">
        <f aca="false">IF(OR(G87&gt;K87,G87&lt;L87),"Outside","Within")</f>
        <v>Outside</v>
      </c>
    </row>
    <row r="88" customFormat="false" ht="15" hidden="false" customHeight="false" outlineLevel="0" collapsed="false">
      <c r="A88" s="2" t="s">
        <v>213</v>
      </c>
      <c r="B88" s="2" t="s">
        <v>214</v>
      </c>
      <c r="C88" s="2" t="s">
        <v>156</v>
      </c>
      <c r="D88" s="2" t="s">
        <v>29</v>
      </c>
      <c r="E88" s="2" t="s">
        <v>30</v>
      </c>
      <c r="F88" s="2" t="n">
        <v>1.93</v>
      </c>
      <c r="G88" s="3" t="n">
        <f aca="false">F88*3600/Parameters!$B$2</f>
        <v>57.9</v>
      </c>
      <c r="H88" s="2" t="n">
        <v>0.452</v>
      </c>
      <c r="I88" s="2"/>
      <c r="J88" s="3" t="n">
        <f aca="false">SPC_Summary!$B$3</f>
        <v>62.0025</v>
      </c>
      <c r="K88" s="3" t="n">
        <f aca="false">SPC_Summary!$B$7</f>
        <v>63.967429679048</v>
      </c>
      <c r="L88" s="3" t="n">
        <f aca="false">SPC_Summary!$B$6</f>
        <v>60.037570320952</v>
      </c>
      <c r="M88" s="3" t="str">
        <f aca="false">IF(OR(G88&gt;K88,G88&lt;L88),"Outside","Within")</f>
        <v>Outside</v>
      </c>
    </row>
    <row r="89" customFormat="false" ht="15" hidden="false" customHeight="false" outlineLevel="0" collapsed="false">
      <c r="A89" s="2" t="s">
        <v>215</v>
      </c>
      <c r="B89" s="2" t="s">
        <v>216</v>
      </c>
      <c r="C89" s="2" t="s">
        <v>156</v>
      </c>
      <c r="D89" s="2" t="s">
        <v>29</v>
      </c>
      <c r="E89" s="2" t="s">
        <v>30</v>
      </c>
      <c r="F89" s="2" t="n">
        <v>1.936</v>
      </c>
      <c r="G89" s="3" t="n">
        <f aca="false">F89*3600/Parameters!$B$2</f>
        <v>58.08</v>
      </c>
      <c r="H89" s="2" t="n">
        <v>0.429</v>
      </c>
      <c r="I89" s="2"/>
      <c r="J89" s="3" t="n">
        <f aca="false">SPC_Summary!$B$3</f>
        <v>62.0025</v>
      </c>
      <c r="K89" s="3" t="n">
        <f aca="false">SPC_Summary!$B$7</f>
        <v>63.967429679048</v>
      </c>
      <c r="L89" s="3" t="n">
        <f aca="false">SPC_Summary!$B$6</f>
        <v>60.037570320952</v>
      </c>
      <c r="M89" s="3" t="str">
        <f aca="false">IF(OR(G89&gt;K89,G89&lt;L89),"Outside","Within")</f>
        <v>Outside</v>
      </c>
    </row>
    <row r="90" customFormat="false" ht="15" hidden="false" customHeight="false" outlineLevel="0" collapsed="false">
      <c r="A90" s="2" t="s">
        <v>217</v>
      </c>
      <c r="B90" s="2" t="s">
        <v>218</v>
      </c>
      <c r="C90" s="2" t="s">
        <v>219</v>
      </c>
      <c r="D90" s="2" t="s">
        <v>47</v>
      </c>
      <c r="E90" s="2" t="s">
        <v>30</v>
      </c>
      <c r="F90" s="2" t="n">
        <v>2.079</v>
      </c>
      <c r="G90" s="3" t="n">
        <f aca="false">F90*3600/Parameters!$B$2</f>
        <v>62.37</v>
      </c>
      <c r="H90" s="2" t="n">
        <v>0.109</v>
      </c>
      <c r="I90" s="2"/>
      <c r="J90" s="3" t="n">
        <f aca="false">SPC_Summary!$B$3</f>
        <v>62.0025</v>
      </c>
      <c r="K90" s="3" t="n">
        <f aca="false">SPC_Summary!$B$7</f>
        <v>63.967429679048</v>
      </c>
      <c r="L90" s="3" t="n">
        <f aca="false">SPC_Summary!$B$6</f>
        <v>60.037570320952</v>
      </c>
      <c r="M90" s="3" t="str">
        <f aca="false">IF(OR(G90&gt;K90,G90&lt;L90),"Outside","Within")</f>
        <v>Within</v>
      </c>
    </row>
    <row r="91" customFormat="false" ht="15" hidden="false" customHeight="false" outlineLevel="0" collapsed="false">
      <c r="A91" s="2" t="s">
        <v>220</v>
      </c>
      <c r="B91" s="2" t="s">
        <v>221</v>
      </c>
      <c r="C91" s="2" t="s">
        <v>219</v>
      </c>
      <c r="D91" s="2" t="s">
        <v>47</v>
      </c>
      <c r="E91" s="2" t="s">
        <v>30</v>
      </c>
      <c r="F91" s="2" t="n">
        <v>2.049</v>
      </c>
      <c r="G91" s="3" t="n">
        <f aca="false">F91*3600/Parameters!$B$2</f>
        <v>61.47</v>
      </c>
      <c r="H91" s="2" t="n">
        <v>0.162</v>
      </c>
      <c r="I91" s="2"/>
      <c r="J91" s="3" t="n">
        <f aca="false">SPC_Summary!$B$3</f>
        <v>62.0025</v>
      </c>
      <c r="K91" s="3" t="n">
        <f aca="false">SPC_Summary!$B$7</f>
        <v>63.967429679048</v>
      </c>
      <c r="L91" s="3" t="n">
        <f aca="false">SPC_Summary!$B$6</f>
        <v>60.037570320952</v>
      </c>
      <c r="M91" s="3" t="str">
        <f aca="false">IF(OR(G91&gt;K91,G91&lt;L91),"Outside","Within")</f>
        <v>Within</v>
      </c>
    </row>
    <row r="92" customFormat="false" ht="15" hidden="false" customHeight="false" outlineLevel="0" collapsed="false">
      <c r="A92" s="2" t="s">
        <v>222</v>
      </c>
      <c r="B92" s="2" t="s">
        <v>223</v>
      </c>
      <c r="C92" s="2" t="s">
        <v>219</v>
      </c>
      <c r="D92" s="2" t="s">
        <v>47</v>
      </c>
      <c r="E92" s="2" t="s">
        <v>30</v>
      </c>
      <c r="F92" s="2" t="n">
        <v>2.075</v>
      </c>
      <c r="G92" s="3" t="n">
        <f aca="false">F92*3600/Parameters!$B$2</f>
        <v>62.25</v>
      </c>
      <c r="H92" s="2" t="n">
        <v>0.141</v>
      </c>
      <c r="I92" s="2"/>
      <c r="J92" s="3" t="n">
        <f aca="false">SPC_Summary!$B$3</f>
        <v>62.0025</v>
      </c>
      <c r="K92" s="3" t="n">
        <f aca="false">SPC_Summary!$B$7</f>
        <v>63.967429679048</v>
      </c>
      <c r="L92" s="3" t="n">
        <f aca="false">SPC_Summary!$B$6</f>
        <v>60.037570320952</v>
      </c>
      <c r="M92" s="3" t="str">
        <f aca="false">IF(OR(G92&gt;K92,G92&lt;L92),"Outside","Within")</f>
        <v>Within</v>
      </c>
    </row>
    <row r="93" customFormat="false" ht="15" hidden="false" customHeight="false" outlineLevel="0" collapsed="false">
      <c r="A93" s="2" t="s">
        <v>224</v>
      </c>
      <c r="B93" s="2" t="s">
        <v>225</v>
      </c>
      <c r="C93" s="2" t="s">
        <v>219</v>
      </c>
      <c r="D93" s="2" t="s">
        <v>47</v>
      </c>
      <c r="E93" s="2" t="s">
        <v>30</v>
      </c>
      <c r="F93" s="2" t="n">
        <v>2.062</v>
      </c>
      <c r="G93" s="3" t="n">
        <f aca="false">F93*3600/Parameters!$B$2</f>
        <v>61.86</v>
      </c>
      <c r="H93" s="2" t="n">
        <v>0.185</v>
      </c>
      <c r="I93" s="2"/>
      <c r="J93" s="3" t="n">
        <f aca="false">SPC_Summary!$B$3</f>
        <v>62.0025</v>
      </c>
      <c r="K93" s="3" t="n">
        <f aca="false">SPC_Summary!$B$7</f>
        <v>63.967429679048</v>
      </c>
      <c r="L93" s="3" t="n">
        <f aca="false">SPC_Summary!$B$6</f>
        <v>60.037570320952</v>
      </c>
      <c r="M93" s="3" t="str">
        <f aca="false">IF(OR(G93&gt;K93,G93&lt;L93),"Outside","Within")</f>
        <v>Within</v>
      </c>
    </row>
    <row r="94" customFormat="false" ht="15" hidden="false" customHeight="false" outlineLevel="0" collapsed="false">
      <c r="A94" s="2" t="s">
        <v>226</v>
      </c>
      <c r="B94" s="2" t="s">
        <v>227</v>
      </c>
      <c r="C94" s="2" t="s">
        <v>219</v>
      </c>
      <c r="D94" s="2" t="s">
        <v>47</v>
      </c>
      <c r="E94" s="2" t="s">
        <v>30</v>
      </c>
      <c r="F94" s="2" t="n">
        <v>2.048</v>
      </c>
      <c r="G94" s="3" t="n">
        <f aca="false">F94*3600/Parameters!$B$2</f>
        <v>61.44</v>
      </c>
      <c r="H94" s="2" t="n">
        <v>0.146</v>
      </c>
      <c r="I94" s="2"/>
      <c r="J94" s="3" t="n">
        <f aca="false">SPC_Summary!$B$3</f>
        <v>62.0025</v>
      </c>
      <c r="K94" s="3" t="n">
        <f aca="false">SPC_Summary!$B$7</f>
        <v>63.967429679048</v>
      </c>
      <c r="L94" s="3" t="n">
        <f aca="false">SPC_Summary!$B$6</f>
        <v>60.037570320952</v>
      </c>
      <c r="M94" s="3" t="str">
        <f aca="false">IF(OR(G94&gt;K94,G94&lt;L94),"Outside","Within")</f>
        <v>Within</v>
      </c>
    </row>
    <row r="95" customFormat="false" ht="15" hidden="false" customHeight="false" outlineLevel="0" collapsed="false">
      <c r="A95" s="2" t="s">
        <v>228</v>
      </c>
      <c r="B95" s="2" t="s">
        <v>229</v>
      </c>
      <c r="C95" s="2" t="s">
        <v>219</v>
      </c>
      <c r="D95" s="2" t="s">
        <v>47</v>
      </c>
      <c r="E95" s="2" t="s">
        <v>30</v>
      </c>
      <c r="F95" s="2" t="n">
        <v>2.046</v>
      </c>
      <c r="G95" s="3" t="n">
        <f aca="false">F95*3600/Parameters!$B$2</f>
        <v>61.38</v>
      </c>
      <c r="H95" s="2" t="n">
        <v>0.138</v>
      </c>
      <c r="I95" s="2"/>
      <c r="J95" s="3" t="n">
        <f aca="false">SPC_Summary!$B$3</f>
        <v>62.0025</v>
      </c>
      <c r="K95" s="3" t="n">
        <f aca="false">SPC_Summary!$B$7</f>
        <v>63.967429679048</v>
      </c>
      <c r="L95" s="3" t="n">
        <f aca="false">SPC_Summary!$B$6</f>
        <v>60.037570320952</v>
      </c>
      <c r="M95" s="3" t="str">
        <f aca="false">IF(OR(G95&gt;K95,G95&lt;L95),"Outside","Within")</f>
        <v>Within</v>
      </c>
    </row>
    <row r="96" customFormat="false" ht="15" hidden="false" customHeight="false" outlineLevel="0" collapsed="false">
      <c r="A96" s="2" t="s">
        <v>230</v>
      </c>
      <c r="B96" s="2" t="s">
        <v>231</v>
      </c>
      <c r="C96" s="2" t="s">
        <v>219</v>
      </c>
      <c r="D96" s="2" t="s">
        <v>29</v>
      </c>
      <c r="E96" s="2" t="s">
        <v>30</v>
      </c>
      <c r="F96" s="2" t="n">
        <v>2.067</v>
      </c>
      <c r="G96" s="3" t="n">
        <f aca="false">F96*3600/Parameters!$B$2</f>
        <v>62.01</v>
      </c>
      <c r="H96" s="2" t="n">
        <v>0.121</v>
      </c>
      <c r="I96" s="2"/>
      <c r="J96" s="3" t="n">
        <f aca="false">SPC_Summary!$B$3</f>
        <v>62.0025</v>
      </c>
      <c r="K96" s="3" t="n">
        <f aca="false">SPC_Summary!$B$7</f>
        <v>63.967429679048</v>
      </c>
      <c r="L96" s="3" t="n">
        <f aca="false">SPC_Summary!$B$6</f>
        <v>60.037570320952</v>
      </c>
      <c r="M96" s="3" t="str">
        <f aca="false">IF(OR(G96&gt;K96,G96&lt;L96),"Outside","Within")</f>
        <v>Within</v>
      </c>
    </row>
    <row r="97" customFormat="false" ht="15" hidden="false" customHeight="false" outlineLevel="0" collapsed="false">
      <c r="A97" s="2" t="s">
        <v>232</v>
      </c>
      <c r="B97" s="2" t="s">
        <v>233</v>
      </c>
      <c r="C97" s="2" t="s">
        <v>219</v>
      </c>
      <c r="D97" s="2" t="s">
        <v>29</v>
      </c>
      <c r="E97" s="2" t="s">
        <v>30</v>
      </c>
      <c r="F97" s="2" t="n">
        <v>2.035</v>
      </c>
      <c r="G97" s="3" t="n">
        <f aca="false">F97*3600/Parameters!$B$2</f>
        <v>61.05</v>
      </c>
      <c r="H97" s="2" t="n">
        <v>0.175</v>
      </c>
      <c r="I97" s="2"/>
      <c r="J97" s="3" t="n">
        <f aca="false">SPC_Summary!$B$3</f>
        <v>62.0025</v>
      </c>
      <c r="K97" s="3" t="n">
        <f aca="false">SPC_Summary!$B$7</f>
        <v>63.967429679048</v>
      </c>
      <c r="L97" s="3" t="n">
        <f aca="false">SPC_Summary!$B$6</f>
        <v>60.037570320952</v>
      </c>
      <c r="M97" s="3" t="str">
        <f aca="false">IF(OR(G97&gt;K97,G97&lt;L97),"Outside","Within")</f>
        <v>Within</v>
      </c>
    </row>
    <row r="98" customFormat="false" ht="15" hidden="false" customHeight="false" outlineLevel="0" collapsed="false">
      <c r="A98" s="2" t="s">
        <v>234</v>
      </c>
      <c r="B98" s="2" t="s">
        <v>235</v>
      </c>
      <c r="C98" s="2" t="s">
        <v>219</v>
      </c>
      <c r="D98" s="2" t="s">
        <v>29</v>
      </c>
      <c r="E98" s="2" t="s">
        <v>30</v>
      </c>
      <c r="F98" s="2" t="n">
        <v>2.071</v>
      </c>
      <c r="G98" s="3" t="n">
        <f aca="false">F98*3600/Parameters!$B$2</f>
        <v>62.13</v>
      </c>
      <c r="H98" s="2" t="n">
        <v>0.175</v>
      </c>
      <c r="I98" s="2"/>
      <c r="J98" s="3" t="n">
        <f aca="false">SPC_Summary!$B$3</f>
        <v>62.0025</v>
      </c>
      <c r="K98" s="3" t="n">
        <f aca="false">SPC_Summary!$B$7</f>
        <v>63.967429679048</v>
      </c>
      <c r="L98" s="3" t="n">
        <f aca="false">SPC_Summary!$B$6</f>
        <v>60.037570320952</v>
      </c>
      <c r="M98" s="3" t="str">
        <f aca="false">IF(OR(G98&gt;K98,G98&lt;L98),"Outside","Within")</f>
        <v>Within</v>
      </c>
    </row>
    <row r="99" customFormat="false" ht="15" hidden="false" customHeight="false" outlineLevel="0" collapsed="false">
      <c r="A99" s="2" t="s">
        <v>236</v>
      </c>
      <c r="B99" s="2" t="s">
        <v>237</v>
      </c>
      <c r="C99" s="2" t="s">
        <v>219</v>
      </c>
      <c r="D99" s="2" t="s">
        <v>29</v>
      </c>
      <c r="E99" s="2" t="s">
        <v>30</v>
      </c>
      <c r="F99" s="2" t="n">
        <v>2.068</v>
      </c>
      <c r="G99" s="3" t="n">
        <f aca="false">F99*3600/Parameters!$B$2</f>
        <v>62.04</v>
      </c>
      <c r="H99" s="2" t="n">
        <v>0.157</v>
      </c>
      <c r="I99" s="2"/>
      <c r="J99" s="3" t="n">
        <f aca="false">SPC_Summary!$B$3</f>
        <v>62.0025</v>
      </c>
      <c r="K99" s="3" t="n">
        <f aca="false">SPC_Summary!$B$7</f>
        <v>63.967429679048</v>
      </c>
      <c r="L99" s="3" t="n">
        <f aca="false">SPC_Summary!$B$6</f>
        <v>60.037570320952</v>
      </c>
      <c r="M99" s="3" t="str">
        <f aca="false">IF(OR(G99&gt;K99,G99&lt;L99),"Outside","Within")</f>
        <v>Within</v>
      </c>
    </row>
    <row r="100" customFormat="false" ht="15" hidden="false" customHeight="false" outlineLevel="0" collapsed="false">
      <c r="A100" s="2" t="s">
        <v>238</v>
      </c>
      <c r="B100" s="2" t="s">
        <v>239</v>
      </c>
      <c r="C100" s="2" t="s">
        <v>219</v>
      </c>
      <c r="D100" s="2" t="s">
        <v>29</v>
      </c>
      <c r="E100" s="2" t="s">
        <v>30</v>
      </c>
      <c r="F100" s="2" t="n">
        <v>2.056</v>
      </c>
      <c r="G100" s="3" t="n">
        <f aca="false">F100*3600/Parameters!$B$2</f>
        <v>61.68</v>
      </c>
      <c r="H100" s="2" t="n">
        <v>0.133</v>
      </c>
      <c r="I100" s="2"/>
      <c r="J100" s="3" t="n">
        <f aca="false">SPC_Summary!$B$3</f>
        <v>62.0025</v>
      </c>
      <c r="K100" s="3" t="n">
        <f aca="false">SPC_Summary!$B$7</f>
        <v>63.967429679048</v>
      </c>
      <c r="L100" s="3" t="n">
        <f aca="false">SPC_Summary!$B$6</f>
        <v>60.037570320952</v>
      </c>
      <c r="M100" s="3" t="str">
        <f aca="false">IF(OR(G100&gt;K100,G100&lt;L100),"Outside","Within")</f>
        <v>Within</v>
      </c>
    </row>
    <row r="101" customFormat="false" ht="15" hidden="false" customHeight="false" outlineLevel="0" collapsed="false">
      <c r="A101" s="2" t="s">
        <v>240</v>
      </c>
      <c r="B101" s="2" t="s">
        <v>241</v>
      </c>
      <c r="C101" s="2" t="s">
        <v>219</v>
      </c>
      <c r="D101" s="2" t="s">
        <v>29</v>
      </c>
      <c r="E101" s="2" t="s">
        <v>30</v>
      </c>
      <c r="F101" s="2" t="n">
        <v>2.068</v>
      </c>
      <c r="G101" s="3" t="n">
        <f aca="false">F101*3600/Parameters!$B$2</f>
        <v>62.04</v>
      </c>
      <c r="H101" s="2" t="n">
        <v>0.186</v>
      </c>
      <c r="I101" s="2"/>
      <c r="J101" s="3" t="n">
        <f aca="false">SPC_Summary!$B$3</f>
        <v>62.0025</v>
      </c>
      <c r="K101" s="3" t="n">
        <f aca="false">SPC_Summary!$B$7</f>
        <v>63.967429679048</v>
      </c>
      <c r="L101" s="3" t="n">
        <f aca="false">SPC_Summary!$B$6</f>
        <v>60.037570320952</v>
      </c>
      <c r="M101" s="3" t="str">
        <f aca="false">IF(OR(G101&gt;K101,G101&lt;L101),"Outside","Within")</f>
        <v>Within</v>
      </c>
    </row>
    <row r="102" customFormat="false" ht="15" hidden="false" customHeight="false" outlineLevel="0" collapsed="false">
      <c r="A102" s="2" t="s">
        <v>242</v>
      </c>
      <c r="B102" s="2" t="s">
        <v>243</v>
      </c>
      <c r="C102" s="2" t="s">
        <v>219</v>
      </c>
      <c r="D102" s="2" t="s">
        <v>47</v>
      </c>
      <c r="E102" s="2" t="s">
        <v>30</v>
      </c>
      <c r="F102" s="2" t="n">
        <v>2.073</v>
      </c>
      <c r="G102" s="3" t="n">
        <f aca="false">F102*3600/Parameters!$B$2</f>
        <v>62.19</v>
      </c>
      <c r="H102" s="2" t="n">
        <v>0.122</v>
      </c>
      <c r="I102" s="2"/>
      <c r="J102" s="3" t="n">
        <f aca="false">SPC_Summary!$B$3</f>
        <v>62.0025</v>
      </c>
      <c r="K102" s="3" t="n">
        <f aca="false">SPC_Summary!$B$7</f>
        <v>63.967429679048</v>
      </c>
      <c r="L102" s="3" t="n">
        <f aca="false">SPC_Summary!$B$6</f>
        <v>60.037570320952</v>
      </c>
      <c r="M102" s="3" t="str">
        <f aca="false">IF(OR(G102&gt;K102,G102&lt;L102),"Outside","Within")</f>
        <v>Within</v>
      </c>
    </row>
    <row r="103" customFormat="false" ht="15" hidden="false" customHeight="false" outlineLevel="0" collapsed="false">
      <c r="A103" s="2" t="s">
        <v>244</v>
      </c>
      <c r="B103" s="2" t="s">
        <v>245</v>
      </c>
      <c r="C103" s="2" t="s">
        <v>219</v>
      </c>
      <c r="D103" s="2" t="s">
        <v>47</v>
      </c>
      <c r="E103" s="2" t="s">
        <v>30</v>
      </c>
      <c r="F103" s="2" t="n">
        <v>2.101</v>
      </c>
      <c r="G103" s="3" t="n">
        <f aca="false">F103*3600/Parameters!$B$2</f>
        <v>63.03</v>
      </c>
      <c r="H103" s="2" t="n">
        <v>0.13</v>
      </c>
      <c r="I103" s="2"/>
      <c r="J103" s="3" t="n">
        <f aca="false">SPC_Summary!$B$3</f>
        <v>62.0025</v>
      </c>
      <c r="K103" s="3" t="n">
        <f aca="false">SPC_Summary!$B$7</f>
        <v>63.967429679048</v>
      </c>
      <c r="L103" s="3" t="n">
        <f aca="false">SPC_Summary!$B$6</f>
        <v>60.037570320952</v>
      </c>
      <c r="M103" s="3" t="str">
        <f aca="false">IF(OR(G103&gt;K103,G103&lt;L103),"Outside","Within")</f>
        <v>Within</v>
      </c>
    </row>
    <row r="104" customFormat="false" ht="15" hidden="false" customHeight="false" outlineLevel="0" collapsed="false">
      <c r="A104" s="2" t="s">
        <v>246</v>
      </c>
      <c r="B104" s="2" t="s">
        <v>247</v>
      </c>
      <c r="C104" s="2" t="s">
        <v>219</v>
      </c>
      <c r="D104" s="2" t="s">
        <v>47</v>
      </c>
      <c r="E104" s="2" t="s">
        <v>30</v>
      </c>
      <c r="F104" s="2" t="n">
        <v>2.032</v>
      </c>
      <c r="G104" s="3" t="n">
        <f aca="false">F104*3600/Parameters!$B$2</f>
        <v>60.96</v>
      </c>
      <c r="H104" s="2" t="n">
        <v>0.177</v>
      </c>
      <c r="I104" s="2"/>
      <c r="J104" s="3" t="n">
        <f aca="false">SPC_Summary!$B$3</f>
        <v>62.0025</v>
      </c>
      <c r="K104" s="3" t="n">
        <f aca="false">SPC_Summary!$B$7</f>
        <v>63.967429679048</v>
      </c>
      <c r="L104" s="3" t="n">
        <f aca="false">SPC_Summary!$B$6</f>
        <v>60.037570320952</v>
      </c>
      <c r="M104" s="3" t="str">
        <f aca="false">IF(OR(G104&gt;K104,G104&lt;L104),"Outside","Within")</f>
        <v>Within</v>
      </c>
    </row>
    <row r="105" customFormat="false" ht="15" hidden="false" customHeight="false" outlineLevel="0" collapsed="false">
      <c r="A105" s="2" t="s">
        <v>248</v>
      </c>
      <c r="B105" s="2" t="s">
        <v>249</v>
      </c>
      <c r="C105" s="2" t="s">
        <v>219</v>
      </c>
      <c r="D105" s="2" t="s">
        <v>47</v>
      </c>
      <c r="E105" s="2" t="s">
        <v>30</v>
      </c>
      <c r="F105" s="2" t="n">
        <v>2.059</v>
      </c>
      <c r="G105" s="3" t="n">
        <f aca="false">F105*3600/Parameters!$B$2</f>
        <v>61.77</v>
      </c>
      <c r="H105" s="2" t="n">
        <v>0.184</v>
      </c>
      <c r="I105" s="2"/>
      <c r="J105" s="3" t="n">
        <f aca="false">SPC_Summary!$B$3</f>
        <v>62.0025</v>
      </c>
      <c r="K105" s="3" t="n">
        <f aca="false">SPC_Summary!$B$7</f>
        <v>63.967429679048</v>
      </c>
      <c r="L105" s="3" t="n">
        <f aca="false">SPC_Summary!$B$6</f>
        <v>60.037570320952</v>
      </c>
      <c r="M105" s="3" t="str">
        <f aca="false">IF(OR(G105&gt;K105,G105&lt;L105),"Outside","Within")</f>
        <v>Within</v>
      </c>
    </row>
    <row r="106" customFormat="false" ht="15" hidden="false" customHeight="false" outlineLevel="0" collapsed="false">
      <c r="A106" s="2" t="s">
        <v>250</v>
      </c>
      <c r="B106" s="2" t="s">
        <v>251</v>
      </c>
      <c r="C106" s="2" t="s">
        <v>219</v>
      </c>
      <c r="D106" s="2" t="s">
        <v>47</v>
      </c>
      <c r="E106" s="2" t="s">
        <v>30</v>
      </c>
      <c r="F106" s="2" t="n">
        <v>2.04</v>
      </c>
      <c r="G106" s="3" t="n">
        <f aca="false">F106*3600/Parameters!$B$2</f>
        <v>61.2</v>
      </c>
      <c r="H106" s="2" t="n">
        <v>0.14</v>
      </c>
      <c r="I106" s="2"/>
      <c r="J106" s="3" t="n">
        <f aca="false">SPC_Summary!$B$3</f>
        <v>62.0025</v>
      </c>
      <c r="K106" s="3" t="n">
        <f aca="false">SPC_Summary!$B$7</f>
        <v>63.967429679048</v>
      </c>
      <c r="L106" s="3" t="n">
        <f aca="false">SPC_Summary!$B$6</f>
        <v>60.037570320952</v>
      </c>
      <c r="M106" s="3" t="str">
        <f aca="false">IF(OR(G106&gt;K106,G106&lt;L106),"Outside","Within")</f>
        <v>Within</v>
      </c>
    </row>
    <row r="107" customFormat="false" ht="15" hidden="false" customHeight="false" outlineLevel="0" collapsed="false">
      <c r="A107" s="2" t="s">
        <v>252</v>
      </c>
      <c r="B107" s="2" t="s">
        <v>253</v>
      </c>
      <c r="C107" s="2" t="s">
        <v>219</v>
      </c>
      <c r="D107" s="2" t="s">
        <v>47</v>
      </c>
      <c r="E107" s="2" t="s">
        <v>30</v>
      </c>
      <c r="F107" s="2" t="n">
        <v>2.051</v>
      </c>
      <c r="G107" s="3" t="n">
        <f aca="false">F107*3600/Parameters!$B$2</f>
        <v>61.53</v>
      </c>
      <c r="H107" s="2" t="n">
        <v>0.158</v>
      </c>
      <c r="I107" s="2"/>
      <c r="J107" s="3" t="n">
        <f aca="false">SPC_Summary!$B$3</f>
        <v>62.0025</v>
      </c>
      <c r="K107" s="3" t="n">
        <f aca="false">SPC_Summary!$B$7</f>
        <v>63.967429679048</v>
      </c>
      <c r="L107" s="3" t="n">
        <f aca="false">SPC_Summary!$B$6</f>
        <v>60.037570320952</v>
      </c>
      <c r="M107" s="3" t="str">
        <f aca="false">IF(OR(G107&gt;K107,G107&lt;L107),"Outside","Within")</f>
        <v>Within</v>
      </c>
    </row>
    <row r="108" customFormat="false" ht="15" hidden="false" customHeight="false" outlineLevel="0" collapsed="false">
      <c r="A108" s="2" t="s">
        <v>254</v>
      </c>
      <c r="B108" s="2" t="s">
        <v>255</v>
      </c>
      <c r="C108" s="2" t="s">
        <v>219</v>
      </c>
      <c r="D108" s="2" t="s">
        <v>29</v>
      </c>
      <c r="E108" s="2" t="s">
        <v>30</v>
      </c>
      <c r="F108" s="2" t="n">
        <v>2.081</v>
      </c>
      <c r="G108" s="3" t="n">
        <f aca="false">F108*3600/Parameters!$B$2</f>
        <v>62.43</v>
      </c>
      <c r="H108" s="2" t="n">
        <v>0.17</v>
      </c>
      <c r="I108" s="2"/>
      <c r="J108" s="3" t="n">
        <f aca="false">SPC_Summary!$B$3</f>
        <v>62.0025</v>
      </c>
      <c r="K108" s="3" t="n">
        <f aca="false">SPC_Summary!$B$7</f>
        <v>63.967429679048</v>
      </c>
      <c r="L108" s="3" t="n">
        <f aca="false">SPC_Summary!$B$6</f>
        <v>60.037570320952</v>
      </c>
      <c r="M108" s="3" t="str">
        <f aca="false">IF(OR(G108&gt;K108,G108&lt;L108),"Outside","Within")</f>
        <v>Within</v>
      </c>
    </row>
    <row r="109" customFormat="false" ht="15" hidden="false" customHeight="false" outlineLevel="0" collapsed="false">
      <c r="A109" s="2" t="s">
        <v>256</v>
      </c>
      <c r="B109" s="2" t="s">
        <v>257</v>
      </c>
      <c r="C109" s="2" t="s">
        <v>219</v>
      </c>
      <c r="D109" s="2" t="s">
        <v>29</v>
      </c>
      <c r="E109" s="2" t="s">
        <v>30</v>
      </c>
      <c r="F109" s="2" t="n">
        <v>2.084</v>
      </c>
      <c r="G109" s="3" t="n">
        <f aca="false">F109*3600/Parameters!$B$2</f>
        <v>62.52</v>
      </c>
      <c r="H109" s="2" t="n">
        <v>0.192</v>
      </c>
      <c r="I109" s="2"/>
      <c r="J109" s="3" t="n">
        <f aca="false">SPC_Summary!$B$3</f>
        <v>62.0025</v>
      </c>
      <c r="K109" s="3" t="n">
        <f aca="false">SPC_Summary!$B$7</f>
        <v>63.967429679048</v>
      </c>
      <c r="L109" s="3" t="n">
        <f aca="false">SPC_Summary!$B$6</f>
        <v>60.037570320952</v>
      </c>
      <c r="M109" s="3" t="str">
        <f aca="false">IF(OR(G109&gt;K109,G109&lt;L109),"Outside","Within")</f>
        <v>Within</v>
      </c>
    </row>
    <row r="110" customFormat="false" ht="15" hidden="false" customHeight="false" outlineLevel="0" collapsed="false">
      <c r="A110" s="2" t="s">
        <v>258</v>
      </c>
      <c r="B110" s="2" t="s">
        <v>259</v>
      </c>
      <c r="C110" s="2" t="s">
        <v>219</v>
      </c>
      <c r="D110" s="2" t="s">
        <v>29</v>
      </c>
      <c r="E110" s="2" t="s">
        <v>30</v>
      </c>
      <c r="F110" s="2" t="n">
        <v>2.037</v>
      </c>
      <c r="G110" s="3" t="n">
        <f aca="false">F110*3600/Parameters!$B$2</f>
        <v>61.11</v>
      </c>
      <c r="H110" s="2" t="n">
        <v>0.178</v>
      </c>
      <c r="I110" s="2"/>
      <c r="J110" s="3" t="n">
        <f aca="false">SPC_Summary!$B$3</f>
        <v>62.0025</v>
      </c>
      <c r="K110" s="3" t="n">
        <f aca="false">SPC_Summary!$B$7</f>
        <v>63.967429679048</v>
      </c>
      <c r="L110" s="3" t="n">
        <f aca="false">SPC_Summary!$B$6</f>
        <v>60.037570320952</v>
      </c>
      <c r="M110" s="3" t="str">
        <f aca="false">IF(OR(G110&gt;K110,G110&lt;L110),"Outside","Within")</f>
        <v>Within</v>
      </c>
    </row>
    <row r="111" customFormat="false" ht="15" hidden="false" customHeight="false" outlineLevel="0" collapsed="false">
      <c r="A111" s="2" t="s">
        <v>260</v>
      </c>
      <c r="B111" s="2" t="s">
        <v>261</v>
      </c>
      <c r="C111" s="2" t="s">
        <v>219</v>
      </c>
      <c r="D111" s="2" t="s">
        <v>29</v>
      </c>
      <c r="E111" s="2" t="s">
        <v>30</v>
      </c>
      <c r="F111" s="2" t="n">
        <v>2.05</v>
      </c>
      <c r="G111" s="3" t="n">
        <f aca="false">F111*3600/Parameters!$B$2</f>
        <v>61.5</v>
      </c>
      <c r="H111" s="2" t="n">
        <v>0.169</v>
      </c>
      <c r="I111" s="2"/>
      <c r="J111" s="3" t="n">
        <f aca="false">SPC_Summary!$B$3</f>
        <v>62.0025</v>
      </c>
      <c r="K111" s="3" t="n">
        <f aca="false">SPC_Summary!$B$7</f>
        <v>63.967429679048</v>
      </c>
      <c r="L111" s="3" t="n">
        <f aca="false">SPC_Summary!$B$6</f>
        <v>60.037570320952</v>
      </c>
      <c r="M111" s="3" t="str">
        <f aca="false">IF(OR(G111&gt;K111,G111&lt;L111),"Outside","Within")</f>
        <v>Within</v>
      </c>
    </row>
    <row r="112" customFormat="false" ht="15" hidden="false" customHeight="false" outlineLevel="0" collapsed="false">
      <c r="A112" s="2" t="s">
        <v>262</v>
      </c>
      <c r="B112" s="2" t="s">
        <v>263</v>
      </c>
      <c r="C112" s="2" t="s">
        <v>219</v>
      </c>
      <c r="D112" s="2" t="s">
        <v>29</v>
      </c>
      <c r="E112" s="2" t="s">
        <v>30</v>
      </c>
      <c r="F112" s="2" t="n">
        <v>2.091</v>
      </c>
      <c r="G112" s="3" t="n">
        <f aca="false">F112*3600/Parameters!$B$2</f>
        <v>62.73</v>
      </c>
      <c r="H112" s="2" t="n">
        <v>0.131</v>
      </c>
      <c r="I112" s="2"/>
      <c r="J112" s="3" t="n">
        <f aca="false">SPC_Summary!$B$3</f>
        <v>62.0025</v>
      </c>
      <c r="K112" s="3" t="n">
        <f aca="false">SPC_Summary!$B$7</f>
        <v>63.967429679048</v>
      </c>
      <c r="L112" s="3" t="n">
        <f aca="false">SPC_Summary!$B$6</f>
        <v>60.037570320952</v>
      </c>
      <c r="M112" s="3" t="str">
        <f aca="false">IF(OR(G112&gt;K112,G112&lt;L112),"Outside","Within")</f>
        <v>Within</v>
      </c>
    </row>
    <row r="113" customFormat="false" ht="15" hidden="false" customHeight="false" outlineLevel="0" collapsed="false">
      <c r="A113" s="2" t="s">
        <v>264</v>
      </c>
      <c r="B113" s="2" t="s">
        <v>265</v>
      </c>
      <c r="C113" s="2" t="s">
        <v>219</v>
      </c>
      <c r="D113" s="2" t="s">
        <v>29</v>
      </c>
      <c r="E113" s="2" t="s">
        <v>30</v>
      </c>
      <c r="F113" s="2" t="n">
        <v>2.041</v>
      </c>
      <c r="G113" s="3" t="n">
        <f aca="false">F113*3600/Parameters!$B$2</f>
        <v>61.23</v>
      </c>
      <c r="H113" s="2" t="n">
        <v>0.175</v>
      </c>
      <c r="I113" s="2"/>
      <c r="J113" s="3" t="n">
        <f aca="false">SPC_Summary!$B$3</f>
        <v>62.0025</v>
      </c>
      <c r="K113" s="3" t="n">
        <f aca="false">SPC_Summary!$B$7</f>
        <v>63.967429679048</v>
      </c>
      <c r="L113" s="3" t="n">
        <f aca="false">SPC_Summary!$B$6</f>
        <v>60.037570320952</v>
      </c>
      <c r="M113" s="3" t="str">
        <f aca="false">IF(OR(G113&gt;K113,G113&lt;L113),"Outside","Within")</f>
        <v>Within</v>
      </c>
    </row>
    <row r="114" customFormat="false" ht="15" hidden="false" customHeight="false" outlineLevel="0" collapsed="false">
      <c r="A114" s="2" t="s">
        <v>266</v>
      </c>
      <c r="B114" s="2" t="s">
        <v>267</v>
      </c>
      <c r="C114" s="2" t="s">
        <v>219</v>
      </c>
      <c r="D114" s="2" t="s">
        <v>47</v>
      </c>
      <c r="E114" s="2" t="s">
        <v>30</v>
      </c>
      <c r="F114" s="2" t="n">
        <v>2.104</v>
      </c>
      <c r="G114" s="3" t="n">
        <f aca="false">F114*3600/Parameters!$B$2</f>
        <v>63.12</v>
      </c>
      <c r="H114" s="2" t="n">
        <v>0.132</v>
      </c>
      <c r="I114" s="2"/>
      <c r="J114" s="3" t="n">
        <f aca="false">SPC_Summary!$B$3</f>
        <v>62.0025</v>
      </c>
      <c r="K114" s="3" t="n">
        <f aca="false">SPC_Summary!$B$7</f>
        <v>63.967429679048</v>
      </c>
      <c r="L114" s="3" t="n">
        <f aca="false">SPC_Summary!$B$6</f>
        <v>60.037570320952</v>
      </c>
      <c r="M114" s="3" t="str">
        <f aca="false">IF(OR(G114&gt;K114,G114&lt;L114),"Outside","Within")</f>
        <v>Within</v>
      </c>
    </row>
    <row r="115" customFormat="false" ht="15" hidden="false" customHeight="false" outlineLevel="0" collapsed="false">
      <c r="A115" s="2" t="s">
        <v>268</v>
      </c>
      <c r="B115" s="2" t="s">
        <v>269</v>
      </c>
      <c r="C115" s="2" t="s">
        <v>219</v>
      </c>
      <c r="D115" s="2" t="s">
        <v>47</v>
      </c>
      <c r="E115" s="2" t="s">
        <v>30</v>
      </c>
      <c r="F115" s="2" t="n">
        <v>2.096</v>
      </c>
      <c r="G115" s="3" t="n">
        <f aca="false">F115*3600/Parameters!$B$2</f>
        <v>62.88</v>
      </c>
      <c r="H115" s="2" t="n">
        <v>0.147</v>
      </c>
      <c r="I115" s="2"/>
      <c r="J115" s="3" t="n">
        <f aca="false">SPC_Summary!$B$3</f>
        <v>62.0025</v>
      </c>
      <c r="K115" s="3" t="n">
        <f aca="false">SPC_Summary!$B$7</f>
        <v>63.967429679048</v>
      </c>
      <c r="L115" s="3" t="n">
        <f aca="false">SPC_Summary!$B$6</f>
        <v>60.037570320952</v>
      </c>
      <c r="M115" s="3" t="str">
        <f aca="false">IF(OR(G115&gt;K115,G115&lt;L115),"Outside","Within")</f>
        <v>Within</v>
      </c>
    </row>
    <row r="116" customFormat="false" ht="15" hidden="false" customHeight="false" outlineLevel="0" collapsed="false">
      <c r="A116" s="2" t="s">
        <v>270</v>
      </c>
      <c r="B116" s="2" t="s">
        <v>271</v>
      </c>
      <c r="C116" s="2" t="s">
        <v>219</v>
      </c>
      <c r="D116" s="2" t="s">
        <v>47</v>
      </c>
      <c r="E116" s="2" t="s">
        <v>30</v>
      </c>
      <c r="F116" s="2" t="n">
        <v>2.084</v>
      </c>
      <c r="G116" s="3" t="n">
        <f aca="false">F116*3600/Parameters!$B$2</f>
        <v>62.52</v>
      </c>
      <c r="H116" s="2" t="n">
        <v>0.159</v>
      </c>
      <c r="I116" s="2"/>
      <c r="J116" s="3" t="n">
        <f aca="false">SPC_Summary!$B$3</f>
        <v>62.0025</v>
      </c>
      <c r="K116" s="3" t="n">
        <f aca="false">SPC_Summary!$B$7</f>
        <v>63.967429679048</v>
      </c>
      <c r="L116" s="3" t="n">
        <f aca="false">SPC_Summary!$B$6</f>
        <v>60.037570320952</v>
      </c>
      <c r="M116" s="3" t="str">
        <f aca="false">IF(OR(G116&gt;K116,G116&lt;L116),"Outside","Within")</f>
        <v>Within</v>
      </c>
    </row>
    <row r="117" customFormat="false" ht="15" hidden="false" customHeight="false" outlineLevel="0" collapsed="false">
      <c r="A117" s="2" t="s">
        <v>272</v>
      </c>
      <c r="B117" s="2" t="s">
        <v>273</v>
      </c>
      <c r="C117" s="2" t="s">
        <v>219</v>
      </c>
      <c r="D117" s="2" t="s">
        <v>47</v>
      </c>
      <c r="E117" s="2" t="s">
        <v>30</v>
      </c>
      <c r="F117" s="2" t="n">
        <v>2.067</v>
      </c>
      <c r="G117" s="3" t="n">
        <f aca="false">F117*3600/Parameters!$B$2</f>
        <v>62.01</v>
      </c>
      <c r="H117" s="2" t="n">
        <v>0.144</v>
      </c>
      <c r="I117" s="2"/>
      <c r="J117" s="3" t="n">
        <f aca="false">SPC_Summary!$B$3</f>
        <v>62.0025</v>
      </c>
      <c r="K117" s="3" t="n">
        <f aca="false">SPC_Summary!$B$7</f>
        <v>63.967429679048</v>
      </c>
      <c r="L117" s="3" t="n">
        <f aca="false">SPC_Summary!$B$6</f>
        <v>60.037570320952</v>
      </c>
      <c r="M117" s="3" t="str">
        <f aca="false">IF(OR(G117&gt;K117,G117&lt;L117),"Outside","Within")</f>
        <v>Within</v>
      </c>
    </row>
    <row r="118" customFormat="false" ht="15" hidden="false" customHeight="false" outlineLevel="0" collapsed="false">
      <c r="A118" s="2" t="s">
        <v>274</v>
      </c>
      <c r="B118" s="2" t="s">
        <v>275</v>
      </c>
      <c r="C118" s="2" t="s">
        <v>219</v>
      </c>
      <c r="D118" s="2" t="s">
        <v>47</v>
      </c>
      <c r="E118" s="2" t="s">
        <v>30</v>
      </c>
      <c r="F118" s="2" t="n">
        <v>2.075</v>
      </c>
      <c r="G118" s="3" t="n">
        <f aca="false">F118*3600/Parameters!$B$2</f>
        <v>62.25</v>
      </c>
      <c r="H118" s="2" t="n">
        <v>0.14</v>
      </c>
      <c r="I118" s="2"/>
      <c r="J118" s="3" t="n">
        <f aca="false">SPC_Summary!$B$3</f>
        <v>62.0025</v>
      </c>
      <c r="K118" s="3" t="n">
        <f aca="false">SPC_Summary!$B$7</f>
        <v>63.967429679048</v>
      </c>
      <c r="L118" s="3" t="n">
        <f aca="false">SPC_Summary!$B$6</f>
        <v>60.037570320952</v>
      </c>
      <c r="M118" s="3" t="str">
        <f aca="false">IF(OR(G118&gt;K118,G118&lt;L118),"Outside","Within")</f>
        <v>Within</v>
      </c>
    </row>
    <row r="119" customFormat="false" ht="15" hidden="false" customHeight="false" outlineLevel="0" collapsed="false">
      <c r="A119" s="2" t="s">
        <v>276</v>
      </c>
      <c r="B119" s="2" t="s">
        <v>277</v>
      </c>
      <c r="C119" s="2" t="s">
        <v>219</v>
      </c>
      <c r="D119" s="2" t="s">
        <v>47</v>
      </c>
      <c r="E119" s="2" t="s">
        <v>30</v>
      </c>
      <c r="F119" s="2" t="n">
        <v>2.029</v>
      </c>
      <c r="G119" s="3" t="n">
        <f aca="false">F119*3600/Parameters!$B$2</f>
        <v>60.87</v>
      </c>
      <c r="H119" s="2" t="n">
        <v>0.147</v>
      </c>
      <c r="I119" s="2"/>
      <c r="J119" s="3" t="n">
        <f aca="false">SPC_Summary!$B$3</f>
        <v>62.0025</v>
      </c>
      <c r="K119" s="3" t="n">
        <f aca="false">SPC_Summary!$B$7</f>
        <v>63.967429679048</v>
      </c>
      <c r="L119" s="3" t="n">
        <f aca="false">SPC_Summary!$B$6</f>
        <v>60.037570320952</v>
      </c>
      <c r="M119" s="3" t="str">
        <f aca="false">IF(OR(G119&gt;K119,G119&lt;L119),"Outside","Within")</f>
        <v>Within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24"/>
  </cols>
  <sheetData>
    <row r="1" customFormat="false" ht="30" hidden="false" customHeight="true" outlineLevel="0" collapsed="false">
      <c r="A1" s="1" t="s">
        <v>464</v>
      </c>
      <c r="B1" s="1" t="s">
        <v>465</v>
      </c>
      <c r="C1" s="1" t="s">
        <v>466</v>
      </c>
    </row>
    <row r="2" customFormat="false" ht="48" hidden="false" customHeight="true" outlineLevel="0" collapsed="false">
      <c r="A2" s="2" t="s">
        <v>467</v>
      </c>
      <c r="B2" s="3" t="n">
        <f aca="false">COUNT(Analysis!G2:G61)</f>
        <v>60</v>
      </c>
      <c r="C2" s="2" t="s">
        <v>468</v>
      </c>
    </row>
    <row r="3" customFormat="false" ht="48" hidden="false" customHeight="true" outlineLevel="0" collapsed="false">
      <c r="A3" s="2" t="s">
        <v>469</v>
      </c>
      <c r="B3" s="3" t="n">
        <f aca="false">AVERAGE(Analysis!G2:G61)</f>
        <v>62.0025</v>
      </c>
      <c r="C3" s="2" t="s">
        <v>402</v>
      </c>
    </row>
    <row r="4" customFormat="false" ht="48" hidden="false" customHeight="true" outlineLevel="0" collapsed="false">
      <c r="A4" s="2" t="s">
        <v>470</v>
      </c>
      <c r="B4" s="3" t="n">
        <f aca="false">AVERAGE(Analysis!I3:I61)</f>
        <v>0.738813559322035</v>
      </c>
      <c r="C4" s="2" t="s">
        <v>402</v>
      </c>
    </row>
    <row r="5" customFormat="false" ht="48" hidden="false" customHeight="true" outlineLevel="0" collapsed="false">
      <c r="A5" s="2" t="s">
        <v>471</v>
      </c>
      <c r="B5" s="3" t="n">
        <f aca="false">B4/Parameters!B6</f>
        <v>0.654976559682655</v>
      </c>
      <c r="C5" s="2" t="s">
        <v>402</v>
      </c>
    </row>
    <row r="6" customFormat="false" ht="48" hidden="false" customHeight="true" outlineLevel="0" collapsed="false">
      <c r="A6" s="2" t="s">
        <v>462</v>
      </c>
      <c r="B6" s="3" t="n">
        <f aca="false">B3-3*B5</f>
        <v>60.037570320952</v>
      </c>
      <c r="C6" s="2" t="s">
        <v>402</v>
      </c>
    </row>
    <row r="7" customFormat="false" ht="48" hidden="false" customHeight="true" outlineLevel="0" collapsed="false">
      <c r="A7" s="2" t="s">
        <v>461</v>
      </c>
      <c r="B7" s="3" t="n">
        <f aca="false">B3+3*B5</f>
        <v>63.967429679048</v>
      </c>
      <c r="C7" s="2" t="s">
        <v>402</v>
      </c>
    </row>
    <row r="8" customFormat="false" ht="48" hidden="false" customHeight="true" outlineLevel="0" collapsed="false">
      <c r="A8" s="2" t="s">
        <v>472</v>
      </c>
      <c r="B8" s="3" t="n">
        <f aca="false">(Parameters!B5-Parameters!B4)/(6*B5)</f>
        <v>1.57766460197293</v>
      </c>
      <c r="C8" s="2" t="s">
        <v>473</v>
      </c>
    </row>
    <row r="9" customFormat="false" ht="48" hidden="false" customHeight="true" outlineLevel="0" collapsed="false">
      <c r="A9" s="2" t="s">
        <v>474</v>
      </c>
      <c r="B9" s="3" t="n">
        <f aca="false">MIN(Parameters!B5-B3,B3-Parameters!B4)/(3*B5)</f>
        <v>1.57639229181004</v>
      </c>
      <c r="C9" s="2" t="s">
        <v>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6" min="1" style="0" width="16"/>
    <col collapsed="false" customWidth="true" hidden="false" outlineLevel="0" max="7" min="7" style="0" width="45"/>
    <col collapsed="false" customWidth="true" hidden="false" outlineLevel="0" max="9" min="8" style="0" width="16"/>
    <col collapsed="false" customWidth="true" hidden="false" outlineLevel="0" max="10" min="10" style="0" width="32"/>
  </cols>
  <sheetData>
    <row r="1" customFormat="false" ht="30" hidden="false" customHeight="true" outlineLevel="0" collapsed="false">
      <c r="A1" s="1" t="s">
        <v>310</v>
      </c>
      <c r="B1" s="1" t="s">
        <v>312</v>
      </c>
      <c r="C1" s="1" t="s">
        <v>475</v>
      </c>
      <c r="D1" s="1" t="s">
        <v>476</v>
      </c>
      <c r="E1" s="1" t="s">
        <v>477</v>
      </c>
      <c r="F1" s="1" t="s">
        <v>478</v>
      </c>
      <c r="G1" s="1" t="s">
        <v>479</v>
      </c>
      <c r="H1" s="1" t="s">
        <v>480</v>
      </c>
      <c r="I1" s="1" t="s">
        <v>481</v>
      </c>
      <c r="J1" s="1" t="s">
        <v>482</v>
      </c>
    </row>
    <row r="2" customFormat="false" ht="48" hidden="false" customHeight="true" outlineLevel="0" collapsed="false">
      <c r="A2" s="3" t="str">
        <f aca="false">FMEA_Input!A2</f>
        <v>FM01</v>
      </c>
      <c r="B2" s="3" t="str">
        <f aca="false">FMEA_Input!C2</f>
        <v>Low delivery</v>
      </c>
      <c r="C2" s="3" t="n">
        <f aca="false">FMEA_Input!H2</f>
        <v>7</v>
      </c>
      <c r="D2" s="3" t="n">
        <f aca="false">FMEA_Input!I2</f>
        <v>5</v>
      </c>
      <c r="E2" s="3" t="n">
        <f aca="false">FMEA_Input!J2</f>
        <v>4</v>
      </c>
      <c r="F2" s="3" t="n">
        <f aca="false">C2*D2*E2</f>
        <v>140</v>
      </c>
      <c r="G2" s="3" t="str">
        <f aca="false">IF(C2&gt;=9,"Explicit review","Review by evidence")</f>
        <v>Review by evidence</v>
      </c>
      <c r="H2" s="3" t="str">
        <f aca="false">FMEA_Input!K2</f>
        <v>Review removed-strainer evidence</v>
      </c>
      <c r="I2" s="3" t="str">
        <f aca="false">FMEA_Input!L2</f>
        <v>Reliability lead</v>
      </c>
      <c r="J2" s="2" t="s">
        <v>483</v>
      </c>
    </row>
    <row r="3" customFormat="false" ht="48" hidden="false" customHeight="true" outlineLevel="0" collapsed="false">
      <c r="A3" s="3" t="str">
        <f aca="false">FMEA_Input!A3</f>
        <v>FM02</v>
      </c>
      <c r="B3" s="3" t="str">
        <f aca="false">FMEA_Input!C3</f>
        <v>Excess delivery</v>
      </c>
      <c r="C3" s="3" t="n">
        <f aca="false">FMEA_Input!H3</f>
        <v>7</v>
      </c>
      <c r="D3" s="3" t="n">
        <f aca="false">FMEA_Input!I3</f>
        <v>2</v>
      </c>
      <c r="E3" s="3" t="n">
        <f aca="false">FMEA_Input!J3</f>
        <v>5</v>
      </c>
      <c r="F3" s="3" t="n">
        <f aca="false">C3*D3*E3</f>
        <v>70</v>
      </c>
      <c r="G3" s="3" t="str">
        <f aca="false">IF(C3&gt;=9,"Explicit review","Review by evidence")</f>
        <v>Review by evidence</v>
      </c>
      <c r="H3" s="3" t="str">
        <f aca="false">FMEA_Input!K3</f>
        <v>Review setting change controls</v>
      </c>
      <c r="I3" s="3" t="str">
        <f aca="false">FMEA_Input!L3</f>
        <v>Operations lead</v>
      </c>
      <c r="J3" s="2" t="s">
        <v>483</v>
      </c>
    </row>
    <row r="4" customFormat="false" ht="48" hidden="false" customHeight="true" outlineLevel="0" collapsed="false">
      <c r="A4" s="3" t="str">
        <f aca="false">FMEA_Input!A4</f>
        <v>FM03</v>
      </c>
      <c r="B4" s="3" t="str">
        <f aca="false">FMEA_Input!C4</f>
        <v>Misleading reading</v>
      </c>
      <c r="C4" s="3" t="n">
        <f aca="false">FMEA_Input!H4</f>
        <v>6</v>
      </c>
      <c r="D4" s="3" t="n">
        <f aca="false">FMEA_Input!I4</f>
        <v>3</v>
      </c>
      <c r="E4" s="3" t="n">
        <f aca="false">FMEA_Input!J4</f>
        <v>6</v>
      </c>
      <c r="F4" s="3" t="n">
        <f aca="false">C4*D4*E4</f>
        <v>108</v>
      </c>
      <c r="G4" s="3" t="str">
        <f aca="false">IF(C4&gt;=9,"Explicit review","Review by evidence")</f>
        <v>Review by evidence</v>
      </c>
      <c r="H4" s="3" t="str">
        <f aca="false">FMEA_Input!K4</f>
        <v>Perform approved measurement-system review</v>
      </c>
      <c r="I4" s="3" t="str">
        <f aca="false">FMEA_Input!L4</f>
        <v>Instrumentation lead</v>
      </c>
      <c r="J4" s="2" t="s">
        <v>483</v>
      </c>
    </row>
    <row r="5" customFormat="false" ht="48" hidden="false" customHeight="true" outlineLevel="0" collapsed="false">
      <c r="A5" s="3" t="str">
        <f aca="false">FMEA_Input!A5</f>
        <v>FM04</v>
      </c>
      <c r="B5" s="3" t="str">
        <f aca="false">FMEA_Input!C5</f>
        <v>External leakage</v>
      </c>
      <c r="C5" s="3" t="n">
        <f aca="false">FMEA_Input!H5</f>
        <v>9</v>
      </c>
      <c r="D5" s="3" t="n">
        <f aca="false">FMEA_Input!I5</f>
        <v>2</v>
      </c>
      <c r="E5" s="3" t="n">
        <f aca="false">FMEA_Input!J5</f>
        <v>5</v>
      </c>
      <c r="F5" s="3" t="n">
        <f aca="false">C5*D5*E5</f>
        <v>90</v>
      </c>
      <c r="G5" s="3" t="str">
        <f aca="false">IF(C5&gt;=9,"Explicit review","Review by evidence")</f>
        <v>Explicit review</v>
      </c>
      <c r="H5" s="3" t="str">
        <f aca="false">FMEA_Input!K5</f>
        <v>Review compatibility and inspection evidence</v>
      </c>
      <c r="I5" s="3" t="str">
        <f aca="false">FMEA_Input!L5</f>
        <v>Safety reviewer</v>
      </c>
      <c r="J5" s="2" t="s">
        <v>483</v>
      </c>
    </row>
    <row r="6" customFormat="false" ht="48" hidden="false" customHeight="true" outlineLevel="0" collapsed="false">
      <c r="A6" s="3" t="str">
        <f aca="false">FMEA_Input!A6</f>
        <v>FM05</v>
      </c>
      <c r="B6" s="3" t="str">
        <f aca="false">FMEA_Input!C6</f>
        <v>Invalid test duration</v>
      </c>
      <c r="C6" s="3" t="n">
        <f aca="false">FMEA_Input!H6</f>
        <v>4</v>
      </c>
      <c r="D6" s="3" t="n">
        <f aca="false">FMEA_Input!I6</f>
        <v>4</v>
      </c>
      <c r="E6" s="3" t="n">
        <f aca="false">FMEA_Input!J6</f>
        <v>3</v>
      </c>
      <c r="F6" s="3" t="n">
        <f aca="false">C6*D6*E6</f>
        <v>48</v>
      </c>
      <c r="G6" s="3" t="str">
        <f aca="false">IF(C6&gt;=9,"Explicit review","Review by evidence")</f>
        <v>Review by evidence</v>
      </c>
      <c r="H6" s="3" t="str">
        <f aca="false">FMEA_Input!K6</f>
        <v>Review timing and data-validation controls</v>
      </c>
      <c r="I6" s="3" t="str">
        <f aca="false">FMEA_Input!L6</f>
        <v>Quality lead</v>
      </c>
      <c r="J6" s="2" t="s">
        <v>483</v>
      </c>
    </row>
    <row r="7" customFormat="false" ht="48" hidden="false" customHeight="true" outlineLevel="0" collapsed="false">
      <c r="A7" s="3" t="str">
        <f aca="false">FMEA_Input!A7</f>
        <v>FM06</v>
      </c>
      <c r="B7" s="3" t="str">
        <f aca="false">FMEA_Input!C7</f>
        <v>Duplicate event</v>
      </c>
      <c r="C7" s="3" t="n">
        <f aca="false">FMEA_Input!H7</f>
        <v>4</v>
      </c>
      <c r="D7" s="3" t="n">
        <f aca="false">FMEA_Input!I7</f>
        <v>4</v>
      </c>
      <c r="E7" s="3" t="n">
        <f aca="false">FMEA_Input!J7</f>
        <v>2</v>
      </c>
      <c r="F7" s="3" t="n">
        <f aca="false">C7*D7*E7</f>
        <v>32</v>
      </c>
      <c r="G7" s="3" t="str">
        <f aca="false">IF(C7&gt;=9,"Explicit review","Review by evidence")</f>
        <v>Review by evidence</v>
      </c>
      <c r="H7" s="3" t="str">
        <f aca="false">FMEA_Input!K7</f>
        <v>Validate ingestion deduplication ledger</v>
      </c>
      <c r="I7" s="3" t="str">
        <f aca="false">FMEA_Input!L7</f>
        <v>Data owner</v>
      </c>
      <c r="J7" s="2" t="s">
        <v>483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5"/>
    <col collapsed="false" customWidth="true" hidden="false" outlineLevel="0" max="3" min="3" style="0" width="16"/>
    <col collapsed="false" customWidth="true" hidden="false" outlineLevel="0" max="4" min="4" style="0" width="44"/>
    <col collapsed="false" customWidth="true" hidden="false" outlineLevel="0" max="5" min="5" style="0" width="45"/>
  </cols>
  <sheetData>
    <row r="1" customFormat="false" ht="30" hidden="false" customHeight="true" outlineLevel="0" collapsed="false">
      <c r="A1" s="1" t="s">
        <v>14</v>
      </c>
      <c r="B1" s="1" t="s">
        <v>484</v>
      </c>
      <c r="C1" s="1" t="s">
        <v>485</v>
      </c>
      <c r="D1" s="1" t="s">
        <v>486</v>
      </c>
      <c r="E1" s="1" t="s">
        <v>487</v>
      </c>
    </row>
    <row r="2" customFormat="false" ht="84.75" hidden="false" customHeight="true" outlineLevel="0" collapsed="false">
      <c r="A2" s="2" t="s">
        <v>488</v>
      </c>
      <c r="B2" s="2" t="s">
        <v>489</v>
      </c>
      <c r="C2" s="2" t="s">
        <v>490</v>
      </c>
      <c r="D2" s="2" t="s">
        <v>491</v>
      </c>
      <c r="E2" s="2" t="s">
        <v>492</v>
      </c>
    </row>
    <row r="3" customFormat="false" ht="84.75" hidden="false" customHeight="true" outlineLevel="0" collapsed="false">
      <c r="A3" s="2" t="s">
        <v>493</v>
      </c>
      <c r="B3" s="2" t="s">
        <v>494</v>
      </c>
      <c r="C3" s="2" t="s">
        <v>495</v>
      </c>
      <c r="D3" s="2" t="s">
        <v>496</v>
      </c>
      <c r="E3" s="2" t="s">
        <v>497</v>
      </c>
    </row>
    <row r="4" customFormat="false" ht="84.75" hidden="false" customHeight="true" outlineLevel="0" collapsed="false">
      <c r="A4" s="2" t="s">
        <v>441</v>
      </c>
      <c r="B4" s="2" t="s">
        <v>498</v>
      </c>
      <c r="C4" s="2" t="s">
        <v>499</v>
      </c>
      <c r="D4" s="2" t="s">
        <v>500</v>
      </c>
      <c r="E4" s="2" t="s">
        <v>501</v>
      </c>
    </row>
    <row r="5" customFormat="false" ht="84.75" hidden="false" customHeight="true" outlineLevel="0" collapsed="false">
      <c r="A5" s="2" t="s">
        <v>502</v>
      </c>
      <c r="B5" s="2" t="s">
        <v>503</v>
      </c>
      <c r="C5" s="2" t="s">
        <v>300</v>
      </c>
      <c r="D5" s="2" t="s">
        <v>504</v>
      </c>
      <c r="E5" s="2" t="s">
        <v>505</v>
      </c>
    </row>
    <row r="6" customFormat="false" ht="84.75" hidden="false" customHeight="true" outlineLevel="0" collapsed="false">
      <c r="A6" s="2" t="s">
        <v>506</v>
      </c>
      <c r="B6" s="2" t="s">
        <v>507</v>
      </c>
      <c r="C6" s="2" t="s">
        <v>508</v>
      </c>
      <c r="D6" s="2" t="s">
        <v>509</v>
      </c>
      <c r="E6" s="2" t="s">
        <v>510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1"/>
    <col collapsed="false" customWidth="true" hidden="false" outlineLevel="0" max="2" min="2" style="0" width="28"/>
    <col collapsed="false" customWidth="true" hidden="false" outlineLevel="0" max="3" min="3" style="0" width="23"/>
    <col collapsed="false" customWidth="true" hidden="false" outlineLevel="0" max="4" min="4" style="0" width="20"/>
    <col collapsed="false" customWidth="true" hidden="false" outlineLevel="0" max="5" min="5" style="0" width="38"/>
    <col collapsed="false" customWidth="true" hidden="false" outlineLevel="0" max="6" min="6" style="0" width="45"/>
  </cols>
  <sheetData>
    <row r="1" customFormat="false" ht="30" hidden="false" customHeight="true" outlineLevel="0" collapsed="false">
      <c r="A1" s="1" t="s">
        <v>464</v>
      </c>
      <c r="B1" s="1" t="s">
        <v>485</v>
      </c>
      <c r="C1" s="1" t="s">
        <v>511</v>
      </c>
      <c r="D1" s="1" t="s">
        <v>481</v>
      </c>
      <c r="E1" s="1" t="s">
        <v>512</v>
      </c>
      <c r="F1" s="1" t="s">
        <v>513</v>
      </c>
    </row>
    <row r="2" customFormat="false" ht="84.75" hidden="false" customHeight="true" outlineLevel="0" collapsed="false">
      <c r="A2" s="2" t="s">
        <v>514</v>
      </c>
      <c r="B2" s="2" t="s">
        <v>515</v>
      </c>
      <c r="C2" s="2" t="s">
        <v>516</v>
      </c>
      <c r="D2" s="2" t="s">
        <v>517</v>
      </c>
      <c r="E2" s="2" t="s">
        <v>518</v>
      </c>
      <c r="F2" s="2" t="s">
        <v>519</v>
      </c>
    </row>
    <row r="3" customFormat="false" ht="84.75" hidden="false" customHeight="true" outlineLevel="0" collapsed="false">
      <c r="A3" s="2" t="s">
        <v>520</v>
      </c>
      <c r="B3" s="2" t="s">
        <v>521</v>
      </c>
      <c r="C3" s="2" t="s">
        <v>522</v>
      </c>
      <c r="D3" s="2" t="s">
        <v>523</v>
      </c>
      <c r="E3" s="2" t="s">
        <v>524</v>
      </c>
      <c r="F3" s="2" t="s">
        <v>525</v>
      </c>
    </row>
    <row r="4" customFormat="false" ht="84.75" hidden="false" customHeight="true" outlineLevel="0" collapsed="false">
      <c r="A4" s="2" t="s">
        <v>526</v>
      </c>
      <c r="B4" s="2" t="s">
        <v>527</v>
      </c>
      <c r="C4" s="2" t="s">
        <v>528</v>
      </c>
      <c r="D4" s="2" t="s">
        <v>330</v>
      </c>
      <c r="E4" s="2" t="s">
        <v>529</v>
      </c>
      <c r="F4" s="2"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6" min="1" style="0" width="16"/>
  </cols>
  <sheetData>
    <row r="1" customFormat="false" ht="30" hidden="false" customHeight="true" outlineLevel="0" collapsed="false">
      <c r="A1" s="1" t="s">
        <v>413</v>
      </c>
      <c r="B1" s="1" t="s">
        <v>531</v>
      </c>
      <c r="C1" s="1" t="s">
        <v>532</v>
      </c>
      <c r="D1" s="1" t="s">
        <v>533</v>
      </c>
      <c r="E1" s="1" t="s">
        <v>534</v>
      </c>
      <c r="F1" s="1" t="s">
        <v>535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7"/>
    <col collapsed="false" customWidth="true" hidden="false" outlineLevel="0" max="3" min="2" style="0" width="25"/>
    <col collapsed="false" customWidth="true" hidden="false" outlineLevel="0" max="4" min="4" style="0" width="16"/>
  </cols>
  <sheetData>
    <row r="1" customFormat="false" ht="30" hidden="false" customHeight="true" outlineLevel="0" collapsed="false">
      <c r="A1" s="1" t="s">
        <v>14</v>
      </c>
      <c r="B1" s="1" t="s">
        <v>376</v>
      </c>
      <c r="C1" s="1" t="s">
        <v>536</v>
      </c>
      <c r="D1" s="1" t="s">
        <v>537</v>
      </c>
    </row>
    <row r="2" customFormat="false" ht="48" hidden="false" customHeight="true" outlineLevel="0" collapsed="false">
      <c r="A2" s="2" t="s">
        <v>28</v>
      </c>
      <c r="B2" s="3" t="n">
        <f aca="false">SUM(WeeklyEvents!D2:D7)</f>
        <v>93</v>
      </c>
      <c r="C2" s="3" t="n">
        <f aca="false">SUM(WeeklyEvents!C2:C7)</f>
        <v>1008</v>
      </c>
      <c r="D2" s="3" t="n">
        <f aca="false">B2/C2</f>
        <v>0.0922619047619048</v>
      </c>
    </row>
    <row r="3" customFormat="false" ht="48" hidden="false" customHeight="true" outlineLevel="0" collapsed="false">
      <c r="A3" s="2" t="s">
        <v>219</v>
      </c>
      <c r="B3" s="3" t="n">
        <f aca="false">SUM(WeeklyEvents!D8:D9)</f>
        <v>11</v>
      </c>
      <c r="C3" s="3" t="n">
        <f aca="false">SUM(WeeklyEvents!C8:C9)</f>
        <v>336</v>
      </c>
      <c r="D3" s="3" t="n">
        <f aca="false">B3/C3</f>
        <v>0.0327380952380952</v>
      </c>
    </row>
    <row r="4" customFormat="false" ht="48" hidden="false" customHeight="true" outlineLevel="0" collapsed="false">
      <c r="A4" s="2" t="s">
        <v>538</v>
      </c>
      <c r="B4" s="2"/>
      <c r="C4" s="2"/>
      <c r="D4" s="3" t="n">
        <f aca="false">(D2-D3)*100</f>
        <v>5.95238095238095</v>
      </c>
    </row>
    <row r="5" customFormat="false" ht="48" hidden="false" customHeight="true" outlineLevel="0" collapsed="false">
      <c r="A5" s="2" t="s">
        <v>539</v>
      </c>
      <c r="B5" s="2"/>
      <c r="C5" s="2"/>
      <c r="D5" s="3" t="n">
        <f aca="false">(D2-D3)/D2</f>
        <v>0.645161290322581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7"/>
    <col collapsed="false" customWidth="true" hidden="false" outlineLevel="0" max="3" min="3" style="0" width="29"/>
  </cols>
  <sheetData>
    <row r="1" customFormat="false" ht="30" hidden="false" customHeight="true" outlineLevel="0" collapsed="false">
      <c r="A1" s="1" t="s">
        <v>387</v>
      </c>
      <c r="B1" s="1" t="s">
        <v>540</v>
      </c>
      <c r="C1" s="1" t="s">
        <v>541</v>
      </c>
    </row>
    <row r="2" customFormat="false" ht="48" hidden="false" customHeight="true" outlineLevel="0" collapsed="false">
      <c r="A2" s="3" t="str">
        <f aca="false">DefectCounts!A2</f>
        <v>Low delivery</v>
      </c>
      <c r="B2" s="3" t="n">
        <f aca="false">DefectCounts!B2</f>
        <v>55</v>
      </c>
      <c r="C2" s="3" t="n">
        <f aca="false">SUM($B$2:B2)/SUM($B$2:$B$5)</f>
        <v>0.591397849462366</v>
      </c>
    </row>
    <row r="3" customFormat="false" ht="48" hidden="false" customHeight="true" outlineLevel="0" collapsed="false">
      <c r="A3" s="3" t="str">
        <f aca="false">DefectCounts!A3</f>
        <v>Test validity</v>
      </c>
      <c r="B3" s="3" t="n">
        <f aca="false">DefectCounts!B3</f>
        <v>16</v>
      </c>
      <c r="C3" s="3" t="n">
        <f aca="false">SUM($B$2:B3)/SUM($B$2:$B$5)</f>
        <v>0.763440860215054</v>
      </c>
    </row>
    <row r="4" customFormat="false" ht="48" hidden="false" customHeight="true" outlineLevel="0" collapsed="false">
      <c r="A4" s="3" t="str">
        <f aca="false">DefectCounts!A4</f>
        <v>Missing evidence</v>
      </c>
      <c r="B4" s="3" t="n">
        <f aca="false">DefectCounts!B4</f>
        <v>12</v>
      </c>
      <c r="C4" s="3" t="n">
        <f aca="false">SUM($B$2:B4)/SUM($B$2:$B$5)</f>
        <v>0.89247311827957</v>
      </c>
    </row>
    <row r="5" customFormat="false" ht="48" hidden="false" customHeight="true" outlineLevel="0" collapsed="false">
      <c r="A5" s="3" t="str">
        <f aca="false">DefectCounts!A5</f>
        <v>Other</v>
      </c>
      <c r="B5" s="3" t="n">
        <f aca="false">DefectCounts!B5</f>
        <v>10</v>
      </c>
      <c r="C5" s="3" t="n">
        <f aca="false">SUM($B$2:B5)/SUM($B$2:$B$5)</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2026-09-05T16:30:18Z</dcterms:created>
  <dc:creator>openpyxl</dc:creator>
  <dc:description/>
  <dc:language>en-SG</dc:language>
  <cp:lastModifiedBy/>
  <dcterms:modified xsi:type="dcterms:W3CDTF">2026-09-05T16:30:19Z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