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_Here" sheetId="1" state="visible" r:id="rId3"/>
    <sheet name="Pump_Readings" sheetId="2" state="visible" r:id="rId4"/>
    <sheet name="Copilot_Prompt" sheetId="3" state="visible" r:id="rId5"/>
    <sheet name="SPC_Outpu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<sst xmlns="http://schemas.openxmlformats.org/spreadsheetml/2006/main" count="75" uniqueCount="59">
  <si>
    <t xml:space="preserve">Lab 1 - Use Copilot in Excel to create an SPC review</t>
  </si>
  <si>
    <t xml:space="preserve">Time</t>
  </si>
  <si>
    <t xml:space="preserve">25 minutes</t>
  </si>
  <si>
    <t xml:space="preserve">Goal</t>
  </si>
  <si>
    <t xml:space="preserve">Use Copilot in Excel to create a first draft, then verify one result yourself.</t>
  </si>
  <si>
    <t xml:space="preserve">1</t>
  </si>
  <si>
    <t xml:space="preserve">Open Pump_Readings and click any cell in the named table PumpReadings.</t>
  </si>
  <si>
    <t xml:space="preserve">2</t>
  </si>
  <si>
    <t xml:space="preserve">Open Copilot in Excel from the ribbon or Copilot button.</t>
  </si>
  <si>
    <t xml:space="preserve">3</t>
  </si>
  <si>
    <t xml:space="preserve">Open Copilot_Prompt, copy the prompt, paste it into Copilot, and submit.</t>
  </si>
  <si>
    <t xml:space="preserve">4</t>
  </si>
  <si>
    <t xml:space="preserve">Inspect the generated table, formulas, chart or summary.</t>
  </si>
  <si>
    <t xml:space="preserve">5</t>
  </si>
  <si>
    <t xml:space="preserve">Verify T10 = 59.4 L/h against the calculated LCL. A point below the LCL is a signal to investigate, not a diagnosis.</t>
  </si>
  <si>
    <t xml:space="preserve">Support</t>
  </si>
  <si>
    <t xml:space="preserve">https://support.microsoft.com/en-us/office/get-started-with-copilot-in-excel</t>
  </si>
  <si>
    <t xml:space="preserve">Notice</t>
  </si>
  <si>
    <t xml:space="preserve">Synthetic classroom data. Copilot output is a draft; the engineer remains responsible for checking it.</t>
  </si>
  <si>
    <t xml:space="preserve">Test_ID</t>
  </si>
  <si>
    <t xml:space="preserve">Phase</t>
  </si>
  <si>
    <t xml:space="preserve">Delivery_L_h</t>
  </si>
  <si>
    <t xml:space="preserve">T01</t>
  </si>
  <si>
    <t xml:space="preserve">Baseline</t>
  </si>
  <si>
    <t xml:space="preserve">T02</t>
  </si>
  <si>
    <t xml:space="preserve">T03</t>
  </si>
  <si>
    <t xml:space="preserve">T04</t>
  </si>
  <si>
    <t xml:space="preserve">T05</t>
  </si>
  <si>
    <t xml:space="preserve">T06</t>
  </si>
  <si>
    <t xml:space="preserve">T07</t>
  </si>
  <si>
    <t xml:space="preserve">T08</t>
  </si>
  <si>
    <t xml:space="preserve">T09</t>
  </si>
  <si>
    <t xml:space="preserve">Monitoring</t>
  </si>
  <si>
    <t xml:space="preserve">T10</t>
  </si>
  <si>
    <t xml:space="preserve">T11</t>
  </si>
  <si>
    <t xml:space="preserve">T12</t>
  </si>
  <si>
    <t xml:space="preserve">Copy this prompt into Copilot in Excel</t>
  </si>
  <si>
    <t xml:space="preserve">Act as an engineering data assistant. Use only the named Excel table PumpReadings. Use the eight Baseline rows to calculate the mean, sample standard deviation, UCL = mean + 3 x standard deviation, and LCL = mean - 3 x standard deviation. Flag each Monitoring row as Below LCL, Above UCL, or Within limits. Create a line chart of all 12 readings with the centre line, UCL and LCL. Return a three-sentence interpretation. Do not claim a root cause or that the pump is safe. Show the formulas used.</t>
  </si>
  <si>
    <t xml:space="preserve">Independent check</t>
  </si>
  <si>
    <t xml:space="preserve">Expected draft</t>
  </si>
  <si>
    <t xml:space="preserve">A baseline mean near 62.0 L/h, calculated limits, three low monitoring signals (T09, T10 and T12), and a short cautious interpretation.</t>
  </si>
  <si>
    <t xml:space="preserve">RISE prompt builder</t>
  </si>
  <si>
    <t xml:space="preserve">What this part does</t>
  </si>
  <si>
    <t xml:space="preserve">R - Role</t>
  </si>
  <si>
    <t xml:space="preserve">Engineering data assistant</t>
  </si>
  <si>
    <t xml:space="preserve">I - Input</t>
  </si>
  <si>
    <t xml:space="preserve">Only PumpReadings; eight Baseline and four Monitoring rows</t>
  </si>
  <si>
    <t xml:space="preserve">S - Steps</t>
  </si>
  <si>
    <t xml:space="preserve">Calculate mean, standard deviation and limits; flag rows; create chart</t>
  </si>
  <si>
    <t xml:space="preserve">E - Expectations</t>
  </si>
  <si>
    <t xml:space="preserve">Show formulas; three sentences; no root-cause or safety claim</t>
  </si>
  <si>
    <t xml:space="preserve">Metric</t>
  </si>
  <si>
    <t xml:space="preserve">Formula / result</t>
  </si>
  <si>
    <t xml:space="preserve">Baseline mean</t>
  </si>
  <si>
    <t xml:space="preserve">Baseline sample standard deviation</t>
  </si>
  <si>
    <t xml:space="preserve">UCL</t>
  </si>
  <si>
    <t xml:space="preserve">LCL</t>
  </si>
  <si>
    <t xml:space="preserve">Centre_Line</t>
  </si>
  <si>
    <t xml:space="preserve">Signal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</si>
</sst>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b val="true"/>
      <sz val="11"/>
      <color rgb="FF142C3E"/>
      <name val="Arial"/>
      <family val="0"/>
      <charset val="1"/>
    </font>
    <font>
      <sz val="11"/>
      <color rgb="FF142C3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087F8C"/>
      <name val="Arial"/>
      <family val="0"/>
      <charset val="1"/>
    </font>
    <font>
      <sz val="10"/>
      <color rgb="FF142C3E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42C3E"/>
        <bgColor rgb="FF333333"/>
      </patternFill>
    </fill>
    <fill>
      <patternFill patternType="solid">
        <fgColor rgb="FF087F8C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87F8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87F8C"/>
      <rgbColor rgb="FFC0C0C0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7D5FA0"/>
      <rgbColor rgb="FF969696"/>
      <rgbColor rgb="FF142C3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Pump delivery with baseline control limits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SPC_Output!C7</c:f>
              <c:strCache>
                <c:ptCount val="1"/>
                <c:pt idx="0">
                  <c:v>Delivery_L_h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SPC_Output!$A$8:$A$19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SPC_Output!$C$8:$C$19</c:f>
              <c:numCache>
                <c:formatCode>General</c:formatCode>
                <c:ptCount val="12"/>
                <c:pt idx="0">
                  <c:v>61.8</c:v>
                </c:pt>
                <c:pt idx="1">
                  <c:v>62.1</c:v>
                </c:pt>
                <c:pt idx="2">
                  <c:v>61.9</c:v>
                </c:pt>
                <c:pt idx="3">
                  <c:v>62.2</c:v>
                </c:pt>
                <c:pt idx="4">
                  <c:v>62</c:v>
                </c:pt>
                <c:pt idx="5">
                  <c:v>61.7</c:v>
                </c:pt>
                <c:pt idx="6">
                  <c:v>62.3</c:v>
                </c:pt>
                <c:pt idx="7">
                  <c:v>62</c:v>
                </c:pt>
                <c:pt idx="8">
                  <c:v>59.6</c:v>
                </c:pt>
                <c:pt idx="9">
                  <c:v>59.4</c:v>
                </c:pt>
                <c:pt idx="10">
                  <c:v>62.1</c:v>
                </c:pt>
                <c:pt idx="11">
                  <c:v>59.5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SPC_Output!D7</c:f>
              <c:strCache>
                <c:ptCount val="1"/>
                <c:pt idx="0">
                  <c:v>Centre_Line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SPC_Output!$A$8:$A$19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SPC_Output!$D$8:$D$19</c:f>
              <c:numCache>
                <c:formatCode>0.00</c:formatCode>
                <c:ptCount val="12"/>
                <c:pt idx="0">
                  <c:v>62</c:v>
                </c:pt>
                <c:pt idx="1">
                  <c:v>62</c:v>
                </c:pt>
                <c:pt idx="2">
                  <c:v>62</c:v>
                </c:pt>
                <c:pt idx="3">
                  <c:v>62</c:v>
                </c:pt>
                <c:pt idx="4">
                  <c:v>62</c:v>
                </c:pt>
                <c:pt idx="5">
                  <c:v>62</c:v>
                </c:pt>
                <c:pt idx="6">
                  <c:v>62</c:v>
                </c:pt>
                <c:pt idx="7">
                  <c:v>62</c:v>
                </c:pt>
                <c:pt idx="8">
                  <c:v>62</c:v>
                </c:pt>
                <c:pt idx="9">
                  <c:v>62</c:v>
                </c:pt>
                <c:pt idx="10">
                  <c:v>62</c:v>
                </c:pt>
                <c:pt idx="11">
                  <c:v>62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SPC_Output!E7</c:f>
              <c:strCache>
                <c:ptCount val="1"/>
                <c:pt idx="0">
                  <c:v>UCL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SPC_Output!$A$8:$A$19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SPC_Output!$E$8:$E$19</c:f>
              <c:numCache>
                <c:formatCode>0.00</c:formatCode>
                <c:ptCount val="12"/>
                <c:pt idx="0">
                  <c:v>62.6</c:v>
                </c:pt>
                <c:pt idx="1">
                  <c:v>62.6</c:v>
                </c:pt>
                <c:pt idx="2">
                  <c:v>62.6</c:v>
                </c:pt>
                <c:pt idx="3">
                  <c:v>62.6</c:v>
                </c:pt>
                <c:pt idx="4">
                  <c:v>62.6</c:v>
                </c:pt>
                <c:pt idx="5">
                  <c:v>62.6</c:v>
                </c:pt>
                <c:pt idx="6">
                  <c:v>62.6</c:v>
                </c:pt>
                <c:pt idx="7">
                  <c:v>62.6</c:v>
                </c:pt>
                <c:pt idx="8">
                  <c:v>62.6</c:v>
                </c:pt>
                <c:pt idx="9">
                  <c:v>62.6</c:v>
                </c:pt>
                <c:pt idx="10">
                  <c:v>62.6</c:v>
                </c:pt>
                <c:pt idx="11">
                  <c:v>62.6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SPC_Output!F7</c:f>
              <c:strCache>
                <c:ptCount val="1"/>
                <c:pt idx="0">
                  <c:v>LCL</c:v>
                </c:pt>
              </c:strCache>
            </c:strRef>
          </c:tx>
          <c:spPr>
            <a:solidFill>
              <a:srgbClr val="7D5FA0"/>
            </a:solidFill>
            <a:ln w="1260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SPC_Output!$A$8:$A$19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SPC_Output!$F$8:$F$19</c:f>
              <c:numCache>
                <c:formatCode>0.00</c:formatCode>
                <c:ptCount val="12"/>
                <c:pt idx="0">
                  <c:v>61.4</c:v>
                </c:pt>
                <c:pt idx="1">
                  <c:v>61.4</c:v>
                </c:pt>
                <c:pt idx="2">
                  <c:v>61.4</c:v>
                </c:pt>
                <c:pt idx="3">
                  <c:v>61.4</c:v>
                </c:pt>
                <c:pt idx="4">
                  <c:v>61.4</c:v>
                </c:pt>
                <c:pt idx="5">
                  <c:v>61.4</c:v>
                </c:pt>
                <c:pt idx="6">
                  <c:v>61.4</c:v>
                </c:pt>
                <c:pt idx="7">
                  <c:v>61.4</c:v>
                </c:pt>
                <c:pt idx="8">
                  <c:v>61.4</c:v>
                </c:pt>
                <c:pt idx="9">
                  <c:v>61.4</c:v>
                </c:pt>
                <c:pt idx="10">
                  <c:v>61.4</c:v>
                </c:pt>
                <c:pt idx="11">
                  <c:v>61.4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5376181"/>
        <c:axId val="59829899"/>
      </c:lineChart>
      <c:catAx>
        <c:axId val="4537618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Test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9829899"/>
        <c:crosses val="autoZero"/>
        <c:auto val="1"/>
        <c:lblAlgn val="ctr"/>
        <c:lblOffset val="100"/>
        <c:noMultiLvlLbl val="0"/>
      </c:catAx>
      <c:valAx>
        <c:axId val="598298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Delivery (L/h)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537618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</xdr:row>
      <xdr:rowOff>0</xdr:rowOff>
    </xdr:from>
    <xdr:to>
      <xdr:col>17</xdr:col>
      <xdr:colOff>255960</xdr:colOff>
      <xdr:row>14</xdr:row>
      <xdr:rowOff>5760</xdr:rowOff>
    </xdr:to>
    <xdr:graphicFrame>
      <xdr:nvGraphicFramePr>
        <xdr:cNvPr id="1" name="Chart 1"/>
        <xdr:cNvGraphicFramePr/>
      </xdr:nvGraphicFramePr>
      <xdr:xfrm>
        <a:off x="7660080" y="190440"/>
        <a:ext cx="5759280" cy="287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PumpReadings" displayName="PumpReadings" ref="A1:C13" headerRowCount="1" totalsRowCount="0" totalsRowShown="0">
  <autoFilter ref="A1:C13"/>
  <tableColumns count="3">
    <tableColumn id="1" name="Test_ID"/>
    <tableColumn id="2" name="Phase"/>
    <tableColumn id="3" name="Delivery_L_h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05"/>
  </cols>
  <sheetData>
    <row r="1" customFormat="false" ht="21.75" hidden="false" customHeight="true" outlineLevel="0" collapsed="false">
      <c r="A1" s="2" t="s">
        <v>0</v>
      </c>
      <c r="B1" s="2"/>
    </row>
    <row r="2" customFormat="false" ht="15" hidden="false" customHeight="true" outlineLevel="0" collapsed="false">
      <c r="A2" s="3" t="s">
        <v>1</v>
      </c>
      <c r="B2" s="4" t="s">
        <v>2</v>
      </c>
    </row>
    <row r="3" customFormat="false" ht="15" hidden="false" customHeight="true" outlineLevel="0" collapsed="false">
      <c r="A3" s="3" t="s">
        <v>3</v>
      </c>
      <c r="B3" s="4" t="s">
        <v>4</v>
      </c>
    </row>
    <row r="4" customFormat="false" ht="15" hidden="false" customHeight="true" outlineLevel="0" collapsed="false">
      <c r="A4" s="3" t="s">
        <v>5</v>
      </c>
      <c r="B4" s="4" t="s">
        <v>6</v>
      </c>
    </row>
    <row r="5" customFormat="false" ht="15" hidden="false" customHeight="true" outlineLevel="0" collapsed="false">
      <c r="A5" s="3" t="s">
        <v>7</v>
      </c>
      <c r="B5" s="4" t="s">
        <v>8</v>
      </c>
    </row>
    <row r="6" customFormat="false" ht="15" hidden="false" customHeight="true" outlineLevel="0" collapsed="false">
      <c r="A6" s="3" t="s">
        <v>9</v>
      </c>
      <c r="B6" s="4" t="s">
        <v>10</v>
      </c>
    </row>
    <row r="7" customFormat="false" ht="15" hidden="false" customHeight="true" outlineLevel="0" collapsed="false">
      <c r="A7" s="3" t="s">
        <v>11</v>
      </c>
      <c r="B7" s="4" t="s">
        <v>12</v>
      </c>
    </row>
    <row r="8" customFormat="false" ht="26.25" hidden="false" customHeight="true" outlineLevel="0" collapsed="false">
      <c r="A8" s="3" t="s">
        <v>13</v>
      </c>
      <c r="B8" s="4" t="s">
        <v>14</v>
      </c>
    </row>
    <row r="9" customFormat="false" ht="15" hidden="false" customHeight="true" outlineLevel="0" collapsed="false">
      <c r="A9" s="3" t="s">
        <v>15</v>
      </c>
      <c r="B9" s="4" t="s">
        <v>16</v>
      </c>
    </row>
    <row r="10" customFormat="false" ht="15" hidden="false" customHeight="true" outlineLevel="0" collapsed="false">
      <c r="A10" s="3" t="s">
        <v>17</v>
      </c>
      <c r="B10" s="4" t="s">
        <v>18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6"/>
    <col collapsed="false" customWidth="true" hidden="false" outlineLevel="0" max="3" min="3" style="1" width="18"/>
  </cols>
  <sheetData>
    <row r="1" customFormat="false" ht="15" hidden="false" customHeight="true" outlineLevel="0" collapsed="false">
      <c r="A1" s="5" t="s">
        <v>19</v>
      </c>
      <c r="B1" s="5" t="s">
        <v>20</v>
      </c>
      <c r="C1" s="5" t="s">
        <v>21</v>
      </c>
    </row>
    <row r="2" customFormat="false" ht="15" hidden="false" customHeight="true" outlineLevel="0" collapsed="false">
      <c r="A2" s="6" t="s">
        <v>22</v>
      </c>
      <c r="B2" s="6" t="s">
        <v>23</v>
      </c>
      <c r="C2" s="6" t="n">
        <v>61.8</v>
      </c>
    </row>
    <row r="3" customFormat="false" ht="15" hidden="false" customHeight="true" outlineLevel="0" collapsed="false">
      <c r="A3" s="6" t="s">
        <v>24</v>
      </c>
      <c r="B3" s="6" t="s">
        <v>23</v>
      </c>
      <c r="C3" s="6" t="n">
        <v>62.1</v>
      </c>
    </row>
    <row r="4" customFormat="false" ht="15" hidden="false" customHeight="true" outlineLevel="0" collapsed="false">
      <c r="A4" s="6" t="s">
        <v>25</v>
      </c>
      <c r="B4" s="6" t="s">
        <v>23</v>
      </c>
      <c r="C4" s="6" t="n">
        <v>61.9</v>
      </c>
    </row>
    <row r="5" customFormat="false" ht="15" hidden="false" customHeight="true" outlineLevel="0" collapsed="false">
      <c r="A5" s="6" t="s">
        <v>26</v>
      </c>
      <c r="B5" s="6" t="s">
        <v>23</v>
      </c>
      <c r="C5" s="6" t="n">
        <v>62.2</v>
      </c>
    </row>
    <row r="6" customFormat="false" ht="15" hidden="false" customHeight="true" outlineLevel="0" collapsed="false">
      <c r="A6" s="6" t="s">
        <v>27</v>
      </c>
      <c r="B6" s="6" t="s">
        <v>23</v>
      </c>
      <c r="C6" s="6" t="n">
        <v>62</v>
      </c>
    </row>
    <row r="7" customFormat="false" ht="15" hidden="false" customHeight="true" outlineLevel="0" collapsed="false">
      <c r="A7" s="6" t="s">
        <v>28</v>
      </c>
      <c r="B7" s="6" t="s">
        <v>23</v>
      </c>
      <c r="C7" s="6" t="n">
        <v>61.7</v>
      </c>
    </row>
    <row r="8" customFormat="false" ht="15" hidden="false" customHeight="true" outlineLevel="0" collapsed="false">
      <c r="A8" s="6" t="s">
        <v>29</v>
      </c>
      <c r="B8" s="6" t="s">
        <v>23</v>
      </c>
      <c r="C8" s="6" t="n">
        <v>62.3</v>
      </c>
    </row>
    <row r="9" customFormat="false" ht="15" hidden="false" customHeight="true" outlineLevel="0" collapsed="false">
      <c r="A9" s="6" t="s">
        <v>30</v>
      </c>
      <c r="B9" s="6" t="s">
        <v>23</v>
      </c>
      <c r="C9" s="6" t="n">
        <v>62</v>
      </c>
    </row>
    <row r="10" customFormat="false" ht="15" hidden="false" customHeight="true" outlineLevel="0" collapsed="false">
      <c r="A10" s="6" t="s">
        <v>31</v>
      </c>
      <c r="B10" s="6" t="s">
        <v>32</v>
      </c>
      <c r="C10" s="6" t="n">
        <v>59.6</v>
      </c>
    </row>
    <row r="11" customFormat="false" ht="15" hidden="false" customHeight="true" outlineLevel="0" collapsed="false">
      <c r="A11" s="6" t="s">
        <v>33</v>
      </c>
      <c r="B11" s="6" t="s">
        <v>32</v>
      </c>
      <c r="C11" s="6" t="n">
        <v>59.4</v>
      </c>
    </row>
    <row r="12" customFormat="false" ht="15" hidden="false" customHeight="true" outlineLevel="0" collapsed="false">
      <c r="A12" s="6" t="s">
        <v>34</v>
      </c>
      <c r="B12" s="6" t="s">
        <v>32</v>
      </c>
      <c r="C12" s="6" t="n">
        <v>62.1</v>
      </c>
    </row>
    <row r="13" customFormat="false" ht="15" hidden="false" customHeight="true" outlineLevel="0" collapsed="false">
      <c r="A13" s="6" t="s">
        <v>35</v>
      </c>
      <c r="B13" s="6" t="s">
        <v>32</v>
      </c>
      <c r="C13" s="6" t="n">
        <v>59.5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0" width="90"/>
  </cols>
  <sheetData>
    <row r="1" customFormat="false" ht="17.25" hidden="false" customHeight="true" outlineLevel="0" collapsed="false">
      <c r="A1" s="7" t="s">
        <v>36</v>
      </c>
    </row>
    <row r="2" customFormat="false" ht="81.75" hidden="false" customHeight="true" outlineLevel="0" collapsed="false">
      <c r="A2" s="4" t="s">
        <v>37</v>
      </c>
    </row>
    <row r="3" customFormat="false" ht="17.25" hidden="false" customHeight="true" outlineLevel="0" collapsed="false">
      <c r="A3" s="7" t="s">
        <v>38</v>
      </c>
    </row>
    <row r="4" customFormat="false" ht="45" hidden="false" customHeight="true" outlineLevel="0" collapsed="false">
      <c r="A4" s="4" t="s">
        <v>14</v>
      </c>
    </row>
    <row r="5" customFormat="false" ht="17.25" hidden="false" customHeight="true" outlineLevel="0" collapsed="false">
      <c r="A5" s="7" t="s">
        <v>39</v>
      </c>
    </row>
    <row r="6" customFormat="false" ht="45" hidden="false" customHeight="true" outlineLevel="0" collapsed="false">
      <c r="A6" s="4" t="s">
        <v>40</v>
      </c>
    </row>
    <row r="8" customFormat="false" ht="17.35" hidden="false" customHeight="false" outlineLevel="0" collapsed="false">
      <c r="A8" s="8" t="s">
        <v>41</v>
      </c>
      <c r="B8" s="8" t="s">
        <v>42</v>
      </c>
    </row>
    <row r="9" customFormat="false" ht="15" hidden="false" customHeight="false" outlineLevel="0" collapsed="false">
      <c r="A9" s="9" t="s">
        <v>43</v>
      </c>
      <c r="B9" s="10" t="s">
        <v>44</v>
      </c>
    </row>
    <row r="10" customFormat="false" ht="15" hidden="false" customHeight="false" outlineLevel="0" collapsed="false">
      <c r="A10" s="9" t="s">
        <v>45</v>
      </c>
      <c r="B10" s="10" t="s">
        <v>46</v>
      </c>
    </row>
    <row r="11" customFormat="false" ht="15" hidden="false" customHeight="false" outlineLevel="0" collapsed="false">
      <c r="A11" s="9" t="s">
        <v>47</v>
      </c>
      <c r="B11" s="10" t="s">
        <v>48</v>
      </c>
    </row>
    <row r="12" customFormat="false" ht="15" hidden="false" customHeight="false" outlineLevel="0" collapsed="false">
      <c r="A12" s="9" t="s">
        <v>49</v>
      </c>
      <c r="B12" s="10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5"/>
    <col collapsed="false" customWidth="true" hidden="false" outlineLevel="0" max="6" min="5" style="1" width="12"/>
    <col collapsed="false" customWidth="true" hidden="false" outlineLevel="0" max="7" min="7" style="1" width="18"/>
  </cols>
  <sheetData>
    <row r="1" customFormat="false" ht="15" hidden="false" customHeight="true" outlineLevel="0" collapsed="false">
      <c r="A1" s="5" t="s">
        <v>51</v>
      </c>
      <c r="B1" s="5" t="s">
        <v>52</v>
      </c>
      <c r="C1" s="5"/>
      <c r="D1" s="5"/>
      <c r="E1" s="5"/>
      <c r="F1" s="5"/>
      <c r="G1" s="5"/>
    </row>
    <row r="2" customFormat="false" ht="15" hidden="false" customHeight="true" outlineLevel="0" collapsed="false">
      <c r="A2" s="6" t="s">
        <v>53</v>
      </c>
      <c r="B2" s="11" t="n">
        <f aca="false">AVERAGE(Pump_Readings!C2:C9)</f>
        <v>62</v>
      </c>
      <c r="C2" s="6"/>
      <c r="D2" s="6"/>
      <c r="E2" s="6"/>
      <c r="F2" s="6"/>
      <c r="G2" s="6"/>
    </row>
    <row r="3" customFormat="false" ht="45.75" hidden="false" customHeight="true" outlineLevel="0" collapsed="false">
      <c r="A3" s="6" t="s">
        <v>54</v>
      </c>
      <c r="B3" s="11" t="n">
        <f aca="false">STDEV(Pump_Readings!C2:C9)</f>
        <v>0.2</v>
      </c>
      <c r="C3" s="6"/>
      <c r="D3" s="6"/>
      <c r="E3" s="6"/>
      <c r="F3" s="6"/>
      <c r="G3" s="6"/>
    </row>
    <row r="4" customFormat="false" ht="15" hidden="false" customHeight="true" outlineLevel="0" collapsed="false">
      <c r="A4" s="6" t="s">
        <v>55</v>
      </c>
      <c r="B4" s="11" t="n">
        <f aca="false">B2+3*B3</f>
        <v>62.6</v>
      </c>
      <c r="C4" s="6"/>
      <c r="D4" s="6"/>
      <c r="E4" s="6"/>
      <c r="F4" s="6"/>
      <c r="G4" s="6"/>
    </row>
    <row r="5" customFormat="false" ht="15" hidden="false" customHeight="true" outlineLevel="0" collapsed="false">
      <c r="A5" s="6" t="s">
        <v>56</v>
      </c>
      <c r="B5" s="11" t="n">
        <f aca="false">B2-3*B3</f>
        <v>61.4</v>
      </c>
      <c r="C5" s="6"/>
      <c r="D5" s="6"/>
      <c r="E5" s="6"/>
      <c r="F5" s="6"/>
      <c r="G5" s="6"/>
    </row>
    <row r="6" customFormat="false" ht="15" hidden="false" customHeight="true" outlineLevel="0" collapsed="false">
      <c r="A6" s="6"/>
      <c r="B6" s="6"/>
      <c r="C6" s="6"/>
      <c r="D6" s="6"/>
      <c r="E6" s="6"/>
      <c r="F6" s="6"/>
      <c r="G6" s="6"/>
    </row>
    <row r="7" customFormat="false" ht="15" hidden="false" customHeight="true" outlineLevel="0" collapsed="false">
      <c r="A7" s="12" t="s">
        <v>19</v>
      </c>
      <c r="B7" s="12" t="s">
        <v>20</v>
      </c>
      <c r="C7" s="12" t="s">
        <v>21</v>
      </c>
      <c r="D7" s="12" t="s">
        <v>57</v>
      </c>
      <c r="E7" s="12" t="s">
        <v>55</v>
      </c>
      <c r="F7" s="12" t="s">
        <v>56</v>
      </c>
      <c r="G7" s="12" t="s">
        <v>58</v>
      </c>
    </row>
    <row r="8" customFormat="false" ht="15" hidden="false" customHeight="true" outlineLevel="0" collapsed="false">
      <c r="A8" s="6" t="str">
        <f aca="false">Pump_Readings!A2</f>
        <v>T01</v>
      </c>
      <c r="B8" s="6" t="str">
        <f aca="false">Pump_Readings!B2</f>
        <v>Baseline</v>
      </c>
      <c r="C8" s="6" t="n">
        <f aca="false">Pump_Readings!C2</f>
        <v>61.8</v>
      </c>
      <c r="D8" s="11" t="n">
        <f aca="false">$B$2</f>
        <v>62</v>
      </c>
      <c r="E8" s="11" t="n">
        <f aca="false">$B$4</f>
        <v>62.6</v>
      </c>
      <c r="F8" s="11" t="n">
        <f aca="false">$B$5</f>
        <v>61.4</v>
      </c>
      <c r="G8" s="6" t="str">
        <f aca="false">IF(B8="Baseline","Reference",IF(C8&lt;F8,"Below LCL",IF(C8&gt;E8,"Above UCL","Within limits")))</f>
        <v>Reference</v>
      </c>
    </row>
    <row r="9" customFormat="false" ht="15" hidden="false" customHeight="true" outlineLevel="0" collapsed="false">
      <c r="A9" s="6" t="str">
        <f aca="false">Pump_Readings!A3</f>
        <v>T02</v>
      </c>
      <c r="B9" s="6" t="str">
        <f aca="false">Pump_Readings!B3</f>
        <v>Baseline</v>
      </c>
      <c r="C9" s="6" t="n">
        <f aca="false">Pump_Readings!C3</f>
        <v>62.1</v>
      </c>
      <c r="D9" s="11" t="n">
        <f aca="false">$B$2</f>
        <v>62</v>
      </c>
      <c r="E9" s="11" t="n">
        <f aca="false">$B$4</f>
        <v>62.6</v>
      </c>
      <c r="F9" s="11" t="n">
        <f aca="false">$B$5</f>
        <v>61.4</v>
      </c>
      <c r="G9" s="6" t="str">
        <f aca="false">IF(B9="Baseline","Reference",IF(C9&lt;F9,"Below LCL",IF(C9&gt;E9,"Above UCL","Within limits")))</f>
        <v>Reference</v>
      </c>
    </row>
    <row r="10" customFormat="false" ht="15" hidden="false" customHeight="true" outlineLevel="0" collapsed="false">
      <c r="A10" s="6" t="str">
        <f aca="false">Pump_Readings!A4</f>
        <v>T03</v>
      </c>
      <c r="B10" s="6" t="str">
        <f aca="false">Pump_Readings!B4</f>
        <v>Baseline</v>
      </c>
      <c r="C10" s="6" t="n">
        <f aca="false">Pump_Readings!C4</f>
        <v>61.9</v>
      </c>
      <c r="D10" s="11" t="n">
        <f aca="false">$B$2</f>
        <v>62</v>
      </c>
      <c r="E10" s="11" t="n">
        <f aca="false">$B$4</f>
        <v>62.6</v>
      </c>
      <c r="F10" s="11" t="n">
        <f aca="false">$B$5</f>
        <v>61.4</v>
      </c>
      <c r="G10" s="6" t="str">
        <f aca="false">IF(B10="Baseline","Reference",IF(C10&lt;F10,"Below LCL",IF(C10&gt;E10,"Above UCL","Within limits")))</f>
        <v>Reference</v>
      </c>
    </row>
    <row r="11" customFormat="false" ht="15" hidden="false" customHeight="true" outlineLevel="0" collapsed="false">
      <c r="A11" s="6" t="str">
        <f aca="false">Pump_Readings!A5</f>
        <v>T04</v>
      </c>
      <c r="B11" s="6" t="str">
        <f aca="false">Pump_Readings!B5</f>
        <v>Baseline</v>
      </c>
      <c r="C11" s="6" t="n">
        <f aca="false">Pump_Readings!C5</f>
        <v>62.2</v>
      </c>
      <c r="D11" s="11" t="n">
        <f aca="false">$B$2</f>
        <v>62</v>
      </c>
      <c r="E11" s="11" t="n">
        <f aca="false">$B$4</f>
        <v>62.6</v>
      </c>
      <c r="F11" s="11" t="n">
        <f aca="false">$B$5</f>
        <v>61.4</v>
      </c>
      <c r="G11" s="6" t="str">
        <f aca="false">IF(B11="Baseline","Reference",IF(C11&lt;F11,"Below LCL",IF(C11&gt;E11,"Above UCL","Within limits")))</f>
        <v>Reference</v>
      </c>
    </row>
    <row r="12" customFormat="false" ht="15" hidden="false" customHeight="true" outlineLevel="0" collapsed="false">
      <c r="A12" s="6" t="str">
        <f aca="false">Pump_Readings!A6</f>
        <v>T05</v>
      </c>
      <c r="B12" s="6" t="str">
        <f aca="false">Pump_Readings!B6</f>
        <v>Baseline</v>
      </c>
      <c r="C12" s="6" t="n">
        <f aca="false">Pump_Readings!C6</f>
        <v>62</v>
      </c>
      <c r="D12" s="11" t="n">
        <f aca="false">$B$2</f>
        <v>62</v>
      </c>
      <c r="E12" s="11" t="n">
        <f aca="false">$B$4</f>
        <v>62.6</v>
      </c>
      <c r="F12" s="11" t="n">
        <f aca="false">$B$5</f>
        <v>61.4</v>
      </c>
      <c r="G12" s="6" t="str">
        <f aca="false">IF(B12="Baseline","Reference",IF(C12&lt;F12,"Below LCL",IF(C12&gt;E12,"Above UCL","Within limits")))</f>
        <v>Reference</v>
      </c>
    </row>
    <row r="13" customFormat="false" ht="15" hidden="false" customHeight="true" outlineLevel="0" collapsed="false">
      <c r="A13" s="6" t="str">
        <f aca="false">Pump_Readings!A7</f>
        <v>T06</v>
      </c>
      <c r="B13" s="6" t="str">
        <f aca="false">Pump_Readings!B7</f>
        <v>Baseline</v>
      </c>
      <c r="C13" s="6" t="n">
        <f aca="false">Pump_Readings!C7</f>
        <v>61.7</v>
      </c>
      <c r="D13" s="11" t="n">
        <f aca="false">$B$2</f>
        <v>62</v>
      </c>
      <c r="E13" s="11" t="n">
        <f aca="false">$B$4</f>
        <v>62.6</v>
      </c>
      <c r="F13" s="11" t="n">
        <f aca="false">$B$5</f>
        <v>61.4</v>
      </c>
      <c r="G13" s="6" t="str">
        <f aca="false">IF(B13="Baseline","Reference",IF(C13&lt;F13,"Below LCL",IF(C13&gt;E13,"Above UCL","Within limits")))</f>
        <v>Reference</v>
      </c>
    </row>
    <row r="14" customFormat="false" ht="15" hidden="false" customHeight="true" outlineLevel="0" collapsed="false">
      <c r="A14" s="6" t="str">
        <f aca="false">Pump_Readings!A8</f>
        <v>T07</v>
      </c>
      <c r="B14" s="6" t="str">
        <f aca="false">Pump_Readings!B8</f>
        <v>Baseline</v>
      </c>
      <c r="C14" s="6" t="n">
        <f aca="false">Pump_Readings!C8</f>
        <v>62.3</v>
      </c>
      <c r="D14" s="11" t="n">
        <f aca="false">$B$2</f>
        <v>62</v>
      </c>
      <c r="E14" s="11" t="n">
        <f aca="false">$B$4</f>
        <v>62.6</v>
      </c>
      <c r="F14" s="11" t="n">
        <f aca="false">$B$5</f>
        <v>61.4</v>
      </c>
      <c r="G14" s="6" t="str">
        <f aca="false">IF(B14="Baseline","Reference",IF(C14&lt;F14,"Below LCL",IF(C14&gt;E14,"Above UCL","Within limits")))</f>
        <v>Reference</v>
      </c>
    </row>
    <row r="15" customFormat="false" ht="15" hidden="false" customHeight="true" outlineLevel="0" collapsed="false">
      <c r="A15" s="6" t="str">
        <f aca="false">Pump_Readings!A9</f>
        <v>T08</v>
      </c>
      <c r="B15" s="6" t="str">
        <f aca="false">Pump_Readings!B9</f>
        <v>Baseline</v>
      </c>
      <c r="C15" s="6" t="n">
        <f aca="false">Pump_Readings!C9</f>
        <v>62</v>
      </c>
      <c r="D15" s="11" t="n">
        <f aca="false">$B$2</f>
        <v>62</v>
      </c>
      <c r="E15" s="11" t="n">
        <f aca="false">$B$4</f>
        <v>62.6</v>
      </c>
      <c r="F15" s="11" t="n">
        <f aca="false">$B$5</f>
        <v>61.4</v>
      </c>
      <c r="G15" s="6" t="str">
        <f aca="false">IF(B15="Baseline","Reference",IF(C15&lt;F15,"Below LCL",IF(C15&gt;E15,"Above UCL","Within limits")))</f>
        <v>Reference</v>
      </c>
    </row>
    <row r="16" customFormat="false" ht="15" hidden="false" customHeight="true" outlineLevel="0" collapsed="false">
      <c r="A16" s="6" t="str">
        <f aca="false">Pump_Readings!A10</f>
        <v>T09</v>
      </c>
      <c r="B16" s="6" t="str">
        <f aca="false">Pump_Readings!B10</f>
        <v>Monitoring</v>
      </c>
      <c r="C16" s="6" t="n">
        <f aca="false">Pump_Readings!C10</f>
        <v>59.6</v>
      </c>
      <c r="D16" s="11" t="n">
        <f aca="false">$B$2</f>
        <v>62</v>
      </c>
      <c r="E16" s="11" t="n">
        <f aca="false">$B$4</f>
        <v>62.6</v>
      </c>
      <c r="F16" s="11" t="n">
        <f aca="false">$B$5</f>
        <v>61.4</v>
      </c>
      <c r="G16" s="6" t="str">
        <f aca="false">IF(B16="Baseline","Reference",IF(C16&lt;F16,"Below LCL",IF(C16&gt;E16,"Above UCL","Within limits")))</f>
        <v>Below LCL</v>
      </c>
    </row>
    <row r="17" customFormat="false" ht="15" hidden="false" customHeight="true" outlineLevel="0" collapsed="false">
      <c r="A17" s="6" t="str">
        <f aca="false">Pump_Readings!A11</f>
        <v>T10</v>
      </c>
      <c r="B17" s="6" t="str">
        <f aca="false">Pump_Readings!B11</f>
        <v>Monitoring</v>
      </c>
      <c r="C17" s="6" t="n">
        <f aca="false">Pump_Readings!C11</f>
        <v>59.4</v>
      </c>
      <c r="D17" s="11" t="n">
        <f aca="false">$B$2</f>
        <v>62</v>
      </c>
      <c r="E17" s="11" t="n">
        <f aca="false">$B$4</f>
        <v>62.6</v>
      </c>
      <c r="F17" s="11" t="n">
        <f aca="false">$B$5</f>
        <v>61.4</v>
      </c>
      <c r="G17" s="6" t="str">
        <f aca="false">IF(B17="Baseline","Reference",IF(C17&lt;F17,"Below LCL",IF(C17&gt;E17,"Above UCL","Within limits")))</f>
        <v>Below LCL</v>
      </c>
    </row>
    <row r="18" customFormat="false" ht="15" hidden="false" customHeight="true" outlineLevel="0" collapsed="false">
      <c r="A18" s="6" t="str">
        <f aca="false">Pump_Readings!A12</f>
        <v>T11</v>
      </c>
      <c r="B18" s="6" t="str">
        <f aca="false">Pump_Readings!B12</f>
        <v>Monitoring</v>
      </c>
      <c r="C18" s="6" t="n">
        <f aca="false">Pump_Readings!C12</f>
        <v>62.1</v>
      </c>
      <c r="D18" s="11" t="n">
        <f aca="false">$B$2</f>
        <v>62</v>
      </c>
      <c r="E18" s="11" t="n">
        <f aca="false">$B$4</f>
        <v>62.6</v>
      </c>
      <c r="F18" s="11" t="n">
        <f aca="false">$B$5</f>
        <v>61.4</v>
      </c>
      <c r="G18" s="6" t="str">
        <f aca="false">IF(B18="Baseline","Reference",IF(C18&lt;F18,"Below LCL",IF(C18&gt;E18,"Above UCL","Within limits")))</f>
        <v>Within limits</v>
      </c>
    </row>
    <row r="19" customFormat="false" ht="15" hidden="false" customHeight="true" outlineLevel="0" collapsed="false">
      <c r="A19" s="6" t="str">
        <f aca="false">Pump_Readings!A13</f>
        <v>T12</v>
      </c>
      <c r="B19" s="6" t="str">
        <f aca="false">Pump_Readings!B13</f>
        <v>Monitoring</v>
      </c>
      <c r="C19" s="6" t="n">
        <f aca="false">Pump_Readings!C13</f>
        <v>59.5</v>
      </c>
      <c r="D19" s="11" t="n">
        <f aca="false">$B$2</f>
        <v>62</v>
      </c>
      <c r="E19" s="11" t="n">
        <f aca="false">$B$4</f>
        <v>62.6</v>
      </c>
      <c r="F19" s="11" t="n">
        <f aca="false">$B$5</f>
        <v>61.4</v>
      </c>
      <c r="G19" s="6" t="str">
        <f aca="false">IF(B19="Baseline","Reference",IF(C19&lt;F19,"Below LCL",IF(C19&gt;E19,"Above UCL","Within limits")))</f>
        <v>Below LCL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2026-09-06T02:53:19Z</dcterms:created>
  <dc:creator>openpyxl</dc:creator>
  <dc:description/>
  <dc:language>en-SG</dc:language>
  <cp:lastModifiedBy/>
  <dcterms:modified xsi:type="dcterms:W3CDTF">2026-09-06T03:04:16Z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