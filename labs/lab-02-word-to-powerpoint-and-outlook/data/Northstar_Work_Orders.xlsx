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Raw_Export" sheetId="2" state="visible" r:id="rId2"/>
    <sheet xmlns:r="http://schemas.openxmlformats.org/officeDocument/2006/relationships" name="Work_Orders" sheetId="3" state="visible" r:id="rId3"/>
    <sheet xmlns:r="http://schemas.openxmlformats.org/officeDocument/2006/relationships" name="Technicians" sheetId="4" state="visible" r:id="rId4"/>
    <sheet xmlns:r="http://schemas.openxmlformats.org/officeDocument/2006/relationships" name="Control" sheetId="5" state="visible" r:id="rId5"/>
    <sheet xmlns:r="http://schemas.openxmlformats.org/officeDocument/2006/relationships" name="Prompt_Log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Evidence_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  <row r="7">
      <c r="A7" s="2" t="inlineStr">
        <is>
          <t>Lab 1 result</t>
        </is>
      </c>
      <c r="B7" s="2" t="inlineStr">
        <is>
          <t>Completed Lab 1 workbook: 2 exact duplicate records removed (WO-2026-0005, WO-2026-0020) and 2 category labels standardised (WO-2026-0004, WO-2026-0013). Supplied so this lab can start straight away.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 xml:space="preserve"> Leak repair 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 xml:space="preserve">Pump service 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  <row r="122">
      <c r="A122" s="2" t="inlineStr">
        <is>
          <t>WO-2026-0005</t>
        </is>
      </c>
      <c r="B122" s="2" t="inlineStr">
        <is>
          <t>Jurong Depot</t>
        </is>
      </c>
      <c r="C122" s="2" t="inlineStr">
        <is>
          <t>Valve Repair</t>
        </is>
      </c>
      <c r="D122" s="2" t="inlineStr">
        <is>
          <t>Low</t>
        </is>
      </c>
      <c r="E122" s="2" t="inlineStr">
        <is>
          <t>New</t>
        </is>
      </c>
      <c r="F122" s="2" t="inlineStr">
        <is>
          <t>Elena Ong</t>
        </is>
      </c>
      <c r="G122" s="4" t="n">
        <v>46286</v>
      </c>
      <c r="H122" s="4" t="n">
        <v>46297</v>
      </c>
      <c r="I122" s="2" t="n"/>
      <c r="J122" s="2" t="n">
        <v>6</v>
      </c>
      <c r="K122" s="2" t="n">
        <v>0</v>
      </c>
      <c r="L122" s="2" t="n">
        <v>232</v>
      </c>
      <c r="M122" s="2" t="inlineStr">
        <is>
          <t>Valve Repair scheduled or reactive task 005</t>
        </is>
      </c>
    </row>
    <row r="123">
      <c r="A123" s="2" t="inlineStr">
        <is>
          <t>WO-2026-0020</t>
        </is>
      </c>
      <c r="B123" s="2" t="inlineStr">
        <is>
          <t>Jurong Depot</t>
        </is>
      </c>
      <c r="C123" s="2" t="inlineStr">
        <is>
          <t>Meter Service</t>
        </is>
      </c>
      <c r="D123" s="2" t="inlineStr">
        <is>
          <t>Critical</t>
        </is>
      </c>
      <c r="E123" s="2" t="inlineStr">
        <is>
          <t>Cancelled</t>
        </is>
      </c>
      <c r="F123" s="2" t="inlineStr">
        <is>
          <t>Daniel Lee</t>
        </is>
      </c>
      <c r="G123" s="4" t="n">
        <v>46271</v>
      </c>
      <c r="H123" s="4" t="n">
        <v>46287</v>
      </c>
      <c r="I123" s="2" t="n"/>
      <c r="J123" s="2" t="n">
        <v>7</v>
      </c>
      <c r="K123" s="2" t="n">
        <v>0</v>
      </c>
      <c r="L123" s="2" t="n">
        <v>303</v>
      </c>
      <c r="M123" s="2" t="inlineStr">
        <is>
          <t>Meter Service scheduled or reactive task 020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WORD COPILOT</t>
        </is>
      </c>
      <c r="C2" s="2" t="inlineStr">
        <is>
          <t>WORD COPILOT:
Make a short table of the key numbers in this document: date, total, closed, cancelled, backlog, overdue, unassigned backlog and cost. Show it here in the chat and don’t change the document.</t>
        </is>
      </c>
    </row>
    <row r="3">
      <c r="A3" s="2" t="inlineStr">
        <is>
          <t>Step 2</t>
        </is>
      </c>
      <c r="B3" s="2" t="inlineStr">
        <is>
          <t>POWERPOINT COPILOT</t>
        </is>
      </c>
      <c r="C3" s="2" t="inlineStr">
        <is>
          <t>POWERPOINT COPILOT:
Fill these 4 slides from the uploaded Northstar_Operations_Brief.docx: 1 scope and totals, 2 backlog and overdue work, 3 unassigned jobs and proposed actions, 4 the decision needed. Keep the design and use only numbers from the brief.</t>
        </is>
      </c>
    </row>
    <row r="4">
      <c r="A4" s="2" t="inlineStr">
        <is>
          <t>Step 3</t>
        </is>
      </c>
      <c r="B4" s="2" t="inlineStr">
        <is>
          <t>POWERPOINT COPILOT</t>
        </is>
      </c>
      <c r="C4" s="2" t="inlineStr">
        <is>
          <t>POWERPOINT COPILOT:
Check these 4 slides against the uploaded brief. List any number that is wrong and give the correct number.</t>
        </is>
      </c>
    </row>
    <row r="5">
      <c r="A5" s="2" t="inlineStr">
        <is>
          <t>Step 4</t>
        </is>
      </c>
      <c r="B5" s="2" t="inlineStr">
        <is>
          <t>OUTLOOK COPILOT</t>
        </is>
      </c>
      <c r="C5" s="2" t="inlineStr">
        <is>
          <t>OUTLOOK COPILOT:
Write a short reply to the email below. Use these numbers for 30 September 2026: 120 total, 48 closed, 12 cancelled, 60 backlog, 50 overdue, 6 unassigned, cost S$35,827.50. Say what we found, what we propose next and what decision we need. Say that any new assignment is only a proposal, not approved.
EMAIL (fictional):
2026-09-29 09:00 Operations manager: Please prepare the 30 September portfolio snapshot; show open work by site, category and current assignment.
2026-09-29 10:15 Supervisor: Check overdue jobs before proposing reassignment. Available hours are planning inputs, not approval.
2026-09-30 08:30 Analyst: The source export is in the workbook. No new assignment has been approved. Please produce a Word brief and a short PowerPoint update, then prepare a draft reply.</t>
        </is>
      </c>
    </row>
    <row r="6">
      <c r="A6" s="2" t="inlineStr">
        <is>
          <t>Step 5</t>
        </is>
      </c>
      <c r="B6" s="2" t="inlineStr">
        <is>
          <t xml:space="preserve">Total </t>
        </is>
      </c>
      <c r="C6" s="2" t="inlineStr">
        <is>
          <t>Total : 120
Backlog : 60
Overdue : 50
Unassigned : 6
Cost : S$35,827.50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>
        <f>IF(B2=Control!B3,"PASS","FAIL")</f>
      </c>
    </row>
    <row r="3">
      <c r="A3" s="2" t="inlineStr">
        <is>
          <t>Closed</t>
        </is>
      </c>
      <c r="B3" s="2">
        <f>COUNTIFS(tblWorkOrders[Status],"Closed")</f>
      </c>
      <c r="C3" s="2">
        <f>IF(B3=Control!B4,"PASS","FAIL")</f>
      </c>
    </row>
    <row r="4">
      <c r="A4" s="2" t="inlineStr">
        <is>
          <t>Cancelled</t>
        </is>
      </c>
      <c r="B4" s="2">
        <f>COUNTIFS(tblWorkOrders[Status],"Cancelled")</f>
      </c>
      <c r="C4" s="2">
        <f>IF(B4=Control!B5,"PASS","FAIL")</f>
      </c>
    </row>
    <row r="5">
      <c r="A5" s="2" t="inlineStr">
        <is>
          <t>Backlog (neither Closed nor Cancelled)</t>
        </is>
      </c>
      <c r="B5" s="2">
        <f>COUNTIFS(tblWorkOrders[Status],"&lt;&gt;Closed",tblWorkOrders[Status],"&lt;&gt;Cancelled")</f>
      </c>
      <c r="C5" s="2">
        <f>IF(B5=Control!B6,"PASS","FAIL")</f>
      </c>
    </row>
    <row r="6">
      <c r="A6" s="2" t="inlineStr">
        <is>
          <t>Overdue backlog (Due_Date before Report_Date)</t>
        </is>
      </c>
      <c r="B6" s="2">
        <f>COUNTIFS(tblWorkOrders[Status],"&lt;&gt;Closed",tblWorkOrders[Status],"&lt;&gt;Cancelled",tblWorkOrders[Due_Date],"&lt;"&amp;Control!$B$2)</f>
      </c>
      <c r="C6" s="2">
        <f>IF(B6=Control!B7,"PASS","FAIL")</f>
      </c>
    </row>
    <row r="7">
      <c r="A7" s="2" t="inlineStr">
        <is>
          <t>Unassigned backlog (blank Assigned_To)</t>
        </is>
      </c>
      <c r="B7" s="2">
        <f>COUNTIFS(tblWorkOrders[Status],"&lt;&gt;Closed",tblWorkOrders[Status],"&lt;&gt;Cancelled",tblWorkOrders[Assigned_To],"")</f>
      </c>
      <c r="C7" s="2">
        <f>IF(B7=Control!B8,"PASS","FAIL")</f>
      </c>
    </row>
    <row r="8">
      <c r="A8" s="2" t="inlineStr">
        <is>
          <t>Recorded cost SGD</t>
        </is>
      </c>
      <c r="B8" s="6">
        <f>SUM(tblWorkOrders[Cost_SGD])</f>
      </c>
      <c r="C8" s="2">
        <f>IF(B8=Control!B11,"PASS","FAIL")</f>
      </c>
    </row>
    <row r="9">
      <c r="A9" s="2" t="inlineStr">
        <is>
          <t>Identity: total = closed + cancelled + backlog</t>
        </is>
      </c>
      <c r="B9" s="2">
        <f>B3+B4+B5</f>
      </c>
      <c r="C9" s="2">
        <f>IF(B9=B2,"PASS","FAIL")</f>
      </c>
    </row>
    <row r="10">
      <c r="A10" s="2" t="inlineStr">
        <is>
          <t>Duplicate Work_Order_ID values</t>
        </is>
      </c>
      <c r="B10" s="2">
        <f>SUMPRODUCT(--(COUNTIF(tblWorkOrders[Work_Order_ID],tblWorkOrders[Work_Order_ID])&gt;1))</f>
      </c>
      <c r="C10" s="2">
        <f>IF(B10=0,"PASS","FAIL")</f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  <row r="2">
      <c r="A2" s="2" t="inlineStr">
        <is>
          <t>Lab 1</t>
        </is>
      </c>
      <c r="B2" s="2" t="inlineStr">
        <is>
          <t>Step 3</t>
        </is>
      </c>
      <c r="C2" s="2" t="inlineStr">
        <is>
          <t>Exact duplicate records removed</t>
        </is>
      </c>
      <c r="D2" s="2" t="inlineStr">
        <is>
          <t>2 (WO-2026-0005, WO-2026-0020)</t>
        </is>
      </c>
      <c r="E2" s="2" t="inlineStr">
        <is>
          <t>2 (WO-2026-0005, WO-2026-0020)</t>
        </is>
      </c>
      <c r="F2" s="2" t="inlineStr">
        <is>
          <t>Northstar_Work_Orders.xlsx, tblWorkOrders, all filters All</t>
        </is>
      </c>
      <c r="G2" s="4" t="n">
        <v>46295</v>
      </c>
      <c r="H2" s="2" t="inlineStr">
        <is>
          <t>Lab 1 model answer</t>
        </is>
      </c>
      <c r="I2" s="2" t="inlineStr">
        <is>
          <t>PASS</t>
        </is>
      </c>
    </row>
    <row r="3">
      <c r="A3" s="2" t="inlineStr">
        <is>
          <t>Lab 1</t>
        </is>
      </c>
      <c r="B3" s="2" t="inlineStr">
        <is>
          <t>Step 3</t>
        </is>
      </c>
      <c r="C3" s="2" t="inlineStr">
        <is>
          <t>Category labels standardised</t>
        </is>
      </c>
      <c r="D3" s="2" t="inlineStr">
        <is>
          <t>2 (WO-2026-0004, WO-2026-0013)</t>
        </is>
      </c>
      <c r="E3" s="2" t="inlineStr">
        <is>
          <t>2 (WO-2026-0004, WO-2026-0013)</t>
        </is>
      </c>
      <c r="F3" s="2" t="inlineStr">
        <is>
          <t>Northstar_Work_Orders.xlsx, tblWorkOrders, all filters All</t>
        </is>
      </c>
      <c r="G3" s="4" t="n">
        <v>46295</v>
      </c>
      <c r="H3" s="2" t="inlineStr">
        <is>
          <t>Lab 1 model answer</t>
        </is>
      </c>
      <c r="I3" s="2" t="inlineStr">
        <is>
          <t>PASS</t>
        </is>
      </c>
    </row>
    <row r="4">
      <c r="A4" s="2" t="inlineStr">
        <is>
          <t>Lab 1</t>
        </is>
      </c>
      <c r="B4" s="2" t="inlineStr">
        <is>
          <t>Step 4</t>
        </is>
      </c>
      <c r="C4" s="2" t="inlineStr">
        <is>
          <t>Total work orders</t>
        </is>
      </c>
      <c r="D4" s="2" t="n">
        <v>120</v>
      </c>
      <c r="E4" s="2" t="n">
        <v>120</v>
      </c>
      <c r="F4" s="2" t="inlineStr">
        <is>
          <t>Northstar_Work_Orders.xlsx, tblWorkOrders, all filters All</t>
        </is>
      </c>
      <c r="G4" s="4" t="n">
        <v>46295</v>
      </c>
      <c r="H4" s="2" t="inlineStr">
        <is>
          <t>Lab 1 model answer</t>
        </is>
      </c>
      <c r="I4" s="2" t="inlineStr">
        <is>
          <t>PASS</t>
        </is>
      </c>
    </row>
    <row r="5">
      <c r="A5" s="2" t="inlineStr">
        <is>
          <t>Lab 1</t>
        </is>
      </c>
      <c r="B5" s="2" t="inlineStr">
        <is>
          <t>Step 4</t>
        </is>
      </c>
      <c r="C5" s="2" t="inlineStr">
        <is>
          <t>Closed</t>
        </is>
      </c>
      <c r="D5" s="2" t="n">
        <v>48</v>
      </c>
      <c r="E5" s="2" t="n">
        <v>48</v>
      </c>
      <c r="F5" s="2" t="inlineStr">
        <is>
          <t>Northstar_Work_Orders.xlsx, tblWorkOrders, all filters All</t>
        </is>
      </c>
      <c r="G5" s="4" t="n">
        <v>46295</v>
      </c>
      <c r="H5" s="2" t="inlineStr">
        <is>
          <t>Lab 1 model answer</t>
        </is>
      </c>
      <c r="I5" s="2" t="inlineStr">
        <is>
          <t>PASS</t>
        </is>
      </c>
    </row>
    <row r="6">
      <c r="A6" s="2" t="inlineStr">
        <is>
          <t>Lab 1</t>
        </is>
      </c>
      <c r="B6" s="2" t="inlineStr">
        <is>
          <t>Step 4</t>
        </is>
      </c>
      <c r="C6" s="2" t="inlineStr">
        <is>
          <t>Cancelled</t>
        </is>
      </c>
      <c r="D6" s="2" t="n">
        <v>12</v>
      </c>
      <c r="E6" s="2" t="n">
        <v>12</v>
      </c>
      <c r="F6" s="2" t="inlineStr">
        <is>
          <t>Northstar_Work_Orders.xlsx, tblWorkOrders, all filters All</t>
        </is>
      </c>
      <c r="G6" s="4" t="n">
        <v>46295</v>
      </c>
      <c r="H6" s="2" t="inlineStr">
        <is>
          <t>Lab 1 model answer</t>
        </is>
      </c>
      <c r="I6" s="2" t="inlineStr">
        <is>
          <t>PASS</t>
        </is>
      </c>
    </row>
    <row r="7">
      <c r="A7" s="2" t="inlineStr">
        <is>
          <t>Lab 1</t>
        </is>
      </c>
      <c r="B7" s="2" t="inlineStr">
        <is>
          <t>Step 4</t>
        </is>
      </c>
      <c r="C7" s="2" t="inlineStr">
        <is>
          <t>Backlog</t>
        </is>
      </c>
      <c r="D7" s="2" t="n">
        <v>60</v>
      </c>
      <c r="E7" s="2" t="n">
        <v>60</v>
      </c>
      <c r="F7" s="2" t="inlineStr">
        <is>
          <t>Northstar_Work_Orders.xlsx, tblWorkOrders, all filters All</t>
        </is>
      </c>
      <c r="G7" s="4" t="n">
        <v>46295</v>
      </c>
      <c r="H7" s="2" t="inlineStr">
        <is>
          <t>Lab 1 model answer</t>
        </is>
      </c>
      <c r="I7" s="2" t="inlineStr">
        <is>
          <t>PASS</t>
        </is>
      </c>
    </row>
    <row r="8">
      <c r="A8" s="2" t="inlineStr">
        <is>
          <t>Lab 1</t>
        </is>
      </c>
      <c r="B8" s="2" t="inlineStr">
        <is>
          <t>Step 4</t>
        </is>
      </c>
      <c r="C8" s="2" t="inlineStr">
        <is>
          <t>Overdue backlog</t>
        </is>
      </c>
      <c r="D8" s="2" t="n">
        <v>50</v>
      </c>
      <c r="E8" s="2" t="n">
        <v>50</v>
      </c>
      <c r="F8" s="2" t="inlineStr">
        <is>
          <t>Northstar_Work_Orders.xlsx, tblWorkOrders, all filters All</t>
        </is>
      </c>
      <c r="G8" s="4" t="n">
        <v>46295</v>
      </c>
      <c r="H8" s="2" t="inlineStr">
        <is>
          <t>Lab 1 model answer</t>
        </is>
      </c>
      <c r="I8" s="2" t="inlineStr">
        <is>
          <t>PASS</t>
        </is>
      </c>
    </row>
    <row r="9">
      <c r="A9" s="2" t="inlineStr">
        <is>
          <t>Lab 1</t>
        </is>
      </c>
      <c r="B9" s="2" t="inlineStr">
        <is>
          <t>Step 4</t>
        </is>
      </c>
      <c r="C9" s="2" t="inlineStr">
        <is>
          <t>Unassigned backlog</t>
        </is>
      </c>
      <c r="D9" s="2" t="n">
        <v>6</v>
      </c>
      <c r="E9" s="2" t="n">
        <v>6</v>
      </c>
      <c r="F9" s="2" t="inlineStr">
        <is>
          <t>Northstar_Work_Orders.xlsx, tblWorkOrders, all filters All</t>
        </is>
      </c>
      <c r="G9" s="4" t="n">
        <v>46295</v>
      </c>
      <c r="H9" s="2" t="inlineStr">
        <is>
          <t>Lab 1 model answer</t>
        </is>
      </c>
      <c r="I9" s="2" t="inlineStr">
        <is>
          <t>PASS</t>
        </is>
      </c>
    </row>
    <row r="10">
      <c r="A10" s="2" t="inlineStr">
        <is>
          <t>Lab 1</t>
        </is>
      </c>
      <c r="B10" s="2" t="inlineStr">
        <is>
          <t>Step 4</t>
        </is>
      </c>
      <c r="C10" s="2" t="inlineStr">
        <is>
          <t>Recorded cost SGD</t>
        </is>
      </c>
      <c r="D10" s="2" t="inlineStr">
        <is>
          <t>S$35,827.50</t>
        </is>
      </c>
      <c r="E10" s="2" t="inlineStr">
        <is>
          <t>S$35,827.50</t>
        </is>
      </c>
      <c r="F10" s="2" t="inlineStr">
        <is>
          <t>Northstar_Work_Orders.xlsx, tblWorkOrders, all filters All</t>
        </is>
      </c>
      <c r="G10" s="4" t="n">
        <v>46295</v>
      </c>
      <c r="H10" s="2" t="inlineStr">
        <is>
          <t>Lab 1 model answer</t>
        </is>
      </c>
      <c r="I10" s="2" t="inlineStr">
        <is>
          <t>PASS</t>
        </is>
      </c>
    </row>
    <row r="11">
      <c r="A11" s="2" t="inlineStr">
        <is>
          <t>Lab 1</t>
        </is>
      </c>
      <c r="B11" s="2" t="inlineStr">
        <is>
          <t>Step 4</t>
        </is>
      </c>
      <c r="C11" s="2" t="inlineStr">
        <is>
          <t>Identity total = closed + cancelled + backlog</t>
        </is>
      </c>
      <c r="D11" s="2" t="inlineStr">
        <is>
          <t>120 = 48 + 12 + 60</t>
        </is>
      </c>
      <c r="E11" s="2" t="inlineStr">
        <is>
          <t>120 = 48 + 12 + 60</t>
        </is>
      </c>
      <c r="F11" s="2" t="inlineStr">
        <is>
          <t>Northstar_Work_Orders.xlsx, tblWorkOrders, all filters All</t>
        </is>
      </c>
      <c r="G11" s="4" t="n">
        <v>46295</v>
      </c>
      <c r="H11" s="2" t="inlineStr">
        <is>
          <t>Lab 1 model answer</t>
        </is>
      </c>
      <c r="I11" s="2" t="inlineStr">
        <is>
          <t>PASS</t>
        </is>
      </c>
    </row>
    <row r="12">
      <c r="A12" s="2" t="inlineStr">
        <is>
          <t>Lab 1</t>
        </is>
      </c>
      <c r="B12" s="2" t="inlineStr">
        <is>
          <t>Step 6</t>
        </is>
      </c>
      <c r="C12" s="2" t="inlineStr">
        <is>
          <t>Word brief figures agree with Checks</t>
        </is>
      </c>
      <c r="D12" s="2" t="inlineStr">
        <is>
          <t>All 8 figures match</t>
        </is>
      </c>
      <c r="E12" s="2" t="inlineStr">
        <is>
          <t>All 8 figures match</t>
        </is>
      </c>
      <c r="F12" s="2" t="inlineStr">
        <is>
          <t>Northstar_Work_Orders.xlsx, tblWorkOrders, all filters All</t>
        </is>
      </c>
      <c r="G12" s="4" t="n">
        <v>46295</v>
      </c>
      <c r="H12" s="2" t="inlineStr">
        <is>
          <t>Lab 1 model answer</t>
        </is>
      </c>
      <c r="I12" s="2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