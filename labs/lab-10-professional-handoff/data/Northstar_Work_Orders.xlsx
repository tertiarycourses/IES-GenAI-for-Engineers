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s/slicer1.xml" ContentType="application/vnd.ms-excel.slicer+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 xmlns:r="http://schemas.openxmlformats.org/officeDocument/2006/relationships" name=".Rules" sheetId="8" state="visible" r:id="rId8"/>
    <sheet xmlns:r="http://schemas.openxmlformats.org/officeDocument/2006/relationships" name="Dashboard" sheetId="9" state="visible" r:id="rId9"/>
    <sheet xmlns:r="http://schemas.openxmlformats.org/officeDocument/2006/relationships" name="Dashboard_Summaries" sheetId="10" state="visible" r:id="rId10"/>
    <sheet xmlns:r="http://schemas.openxmlformats.org/officeDocument/2006/relationships" name="Filter_Lists" sheetId="11" state="hidden" r:id="rId11"/>
  </sheets>
  <definedNames>
    <definedName name="Slicer_Site">#N/A</definedName>
    <definedName name="Slicer_Job_Category">#N/A</definedName>
    <definedName name="Slicer_Status">#N/A</definedName>
    <definedName name="Slicer_Assigned_To">#N/A</definedName>
  </definedNames>
  <calcPr calcId="124519" fullCalcOnLoad="1"/>
  <extLst>
    <ext xmlns:x15="http://schemas.microsoft.com/office/spreadsheetml/2010/11/main" uri="{46BE6895-7355-4a93-B00E-2C351335B9C9}">
      <x15:slicerCaches xmlns:x14="http://schemas.microsoft.com/office/spreadsheetml/2009/9/main">
        <x14:slicerCache xmlns:r="http://schemas.openxmlformats.org/officeDocument/2006/relationships" r:id="rIdSlicerCache1"/>
        <x14:slicerCache xmlns:r="http://schemas.openxmlformats.org/officeDocument/2006/relationships" r:id="rIdSlicerCache2"/>
        <x14:slicerCache xmlns:r="http://schemas.openxmlformats.org/officeDocument/2006/relationships" r:id="rIdSlicerCache3"/>
        <x14:slicerCache xmlns:r="http://schemas.openxmlformats.org/officeDocument/2006/relationships" r:id="rIdSlicerCache4"/>
      </x15:slicerCaches>
    </ext>
  </extLst>
</workbook>
</file>

<file path=xl/styles.xml><?xml version="1.0" encoding="utf-8"?>
<styleSheet xmlns="http://schemas.openxmlformats.org/spreadsheetml/2006/main">
  <numFmts count="3">
    <numFmt numFmtId="164" formatCode="yyyy-mm-dd"/>
    <numFmt numFmtId="165" formatCode="0.0%"/>
    <numFmt numFmtId="166" formatCode="&quot;S$&quot;#,##0.00"/>
  </numFmts>
  <fonts count="13">
    <font>
      <name val="Calibri"/>
      <family val="2"/>
      <color theme="1"/>
      <sz val="11"/>
      <scheme val="minor"/>
    </font>
    <font>
      <b val="1"/>
      <color rgb="00FFFFFF"/>
    </font>
    <font>
      <b val="1"/>
      <color rgb="001F4E79"/>
      <sz val="13"/>
    </font>
    <font>
      <b val="1"/>
      <color rgb="001F4E79"/>
    </font>
    <font>
      <b val="1"/>
      <color rgb="001F4E79"/>
      <sz val="20"/>
    </font>
    <font>
      <i val="1"/>
      <color rgb="00404040"/>
      <sz val="11"/>
    </font>
    <font>
      <color rgb="00595959"/>
      <sz val="9"/>
    </font>
    <font>
      <i val="1"/>
      <color rgb="00595959"/>
    </font>
    <font>
      <b val="1"/>
      <color rgb="001F4E79"/>
      <sz val="9"/>
    </font>
    <font>
      <b val="1"/>
      <color rgb="00FFFFFF"/>
      <sz val="12"/>
    </font>
    <font>
      <b val="1"/>
      <color rgb="00FFFFFF"/>
      <sz val="28"/>
    </font>
    <font>
      <color rgb="00FFFFFF"/>
      <sz val="9"/>
    </font>
    <font>
      <b val="1"/>
      <color rgb="00FFFFFF"/>
      <sz val="9"/>
    </font>
  </fonts>
  <fills count="8">
    <fill>
      <patternFill/>
    </fill>
    <fill>
      <patternFill patternType="gray125"/>
    </fill>
    <fill>
      <patternFill patternType="solid">
        <fgColor rgb="001F6FEB"/>
      </patternFill>
    </fill>
    <fill>
      <patternFill patternType="solid">
        <fgColor rgb="001F4E79"/>
      </patternFill>
    </fill>
    <fill>
      <patternFill patternType="solid">
        <fgColor rgb="00F3F6FA"/>
      </patternFill>
    </fill>
    <fill>
      <patternFill patternType="solid">
        <fgColor rgb="00DDEBF7"/>
      </patternFill>
    </fill>
    <fill>
      <patternFill patternType="solid">
        <fgColor rgb="002E75B6"/>
      </patternFill>
    </fill>
    <fill>
      <patternFill patternType="solid">
        <fgColor rgb="002A9D8F"/>
      </patternFill>
    </fill>
  </fills>
  <borders count="4">
    <border>
      <left/>
      <right/>
      <top/>
      <bottom/>
      <diagonal/>
    </border>
    <border>
      <left style="thin">
        <color rgb="002E75B6"/>
      </left>
      <right style="thin">
        <color rgb="002E75B6"/>
      </right>
      <top style="thin">
        <color rgb="002E75B6"/>
      </top>
      <bottom style="thin">
        <color rgb="002E75B6"/>
      </bottom>
    </border>
    <border>
      <bottom style="thin">
        <color rgb="00C9D3E3"/>
      </bottom>
    </border>
    <border>
      <left style="thick">
        <color rgb="00FFFFFF"/>
      </left>
      <right style="thick">
        <color rgb="00FFFFFF"/>
      </right>
    </border>
  </borders>
  <cellStyleXfs count="1">
    <xf numFmtId="0" fontId="0" fillId="0" borderId="0"/>
  </cellStyleXfs>
  <cellXfs count="40">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0" fontId="4" fillId="0" borderId="0" applyAlignment="1" pivotButton="0" quotePrefix="0" xfId="0">
      <alignment vertical="center"/>
    </xf>
    <xf numFmtId="0" fontId="3" fillId="4" borderId="0" applyAlignment="1" pivotButton="0" quotePrefix="0" xfId="0">
      <alignment vertical="center"/>
    </xf>
    <xf numFmtId="0" fontId="3" fillId="5" borderId="1"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vertical="center"/>
    </xf>
    <xf numFmtId="0" fontId="9" fillId="3" borderId="3" applyAlignment="1" pivotButton="0" quotePrefix="0" xfId="0">
      <alignment horizontal="center" vertical="center"/>
    </xf>
    <xf numFmtId="0" fontId="9" fillId="6" borderId="3" applyAlignment="1" pivotButton="0" quotePrefix="0" xfId="0">
      <alignment horizontal="center" vertical="center"/>
    </xf>
    <xf numFmtId="0" fontId="9" fillId="7" borderId="3" applyAlignment="1" pivotButton="0" quotePrefix="0" xfId="0">
      <alignment horizontal="center" vertical="center"/>
    </xf>
    <xf numFmtId="1" fontId="10" fillId="3" borderId="3" applyAlignment="1" pivotButton="0" quotePrefix="0" xfId="0">
      <alignment horizontal="center" vertical="center" shrinkToFit="1"/>
    </xf>
    <xf numFmtId="1" fontId="10" fillId="6" borderId="3" applyAlignment="1" pivotButton="0" quotePrefix="0" xfId="0">
      <alignment horizontal="center" vertical="center" shrinkToFit="1"/>
    </xf>
    <xf numFmtId="1" fontId="10" fillId="7" borderId="3" applyAlignment="1" pivotButton="0" quotePrefix="0" xfId="0">
      <alignment horizontal="center" vertical="center" shrinkToFit="1"/>
    </xf>
    <xf numFmtId="165" fontId="10" fillId="3" borderId="3" applyAlignment="1" pivotButton="0" quotePrefix="0" xfId="0">
      <alignment horizontal="center" vertical="center" shrinkToFit="1"/>
    </xf>
    <xf numFmtId="166" fontId="10" fillId="7" borderId="3" applyAlignment="1" pivotButton="0" quotePrefix="0" xfId="0">
      <alignment horizontal="center" vertical="center" shrinkToFit="1"/>
    </xf>
    <xf numFmtId="0" fontId="1" fillId="3" borderId="0" applyAlignment="1" pivotButton="0" quotePrefix="0" xfId="0">
      <alignment vertical="center"/>
    </xf>
    <xf numFmtId="0" fontId="11" fillId="3" borderId="3" applyAlignment="1" pivotButton="0" quotePrefix="0" xfId="0">
      <alignment horizontal="center" vertical="center" wrapText="1"/>
    </xf>
    <xf numFmtId="0" fontId="11" fillId="6" borderId="3" applyAlignment="1" pivotButton="0" quotePrefix="0" xfId="0">
      <alignment horizontal="center" vertical="center" wrapText="1"/>
    </xf>
    <xf numFmtId="0" fontId="11" fillId="7" borderId="3" applyAlignment="1" pivotButton="0" quotePrefix="0" xfId="0">
      <alignment horizontal="center" vertical="center" wrapText="1"/>
    </xf>
    <xf numFmtId="0" fontId="0" fillId="4" borderId="2" applyAlignment="1" pivotButton="0" quotePrefix="0" xfId="0">
      <alignment vertical="center"/>
    </xf>
    <xf numFmtId="1" fontId="3" fillId="4" borderId="2" applyAlignment="1" pivotButton="0" quotePrefix="0" xfId="0">
      <alignment horizontal="right" vertical="center"/>
    </xf>
    <xf numFmtId="0" fontId="12" fillId="3"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165" fontId="3" fillId="4" borderId="2" applyAlignment="1" pivotButton="0" quotePrefix="0" xfId="0">
      <alignment horizontal="right" vertical="center"/>
    </xf>
    <xf numFmtId="166" fontId="3" fillId="4" borderId="2" applyAlignment="1" pivotButton="0" quotePrefix="0" xfId="0">
      <alignment horizontal="right" vertical="center"/>
    </xf>
    <xf numFmtId="0" fontId="7" fillId="4" borderId="0" applyAlignment="1" pivotButton="0" quotePrefix="0" xfId="0">
      <alignment vertical="center"/>
    </xf>
    <xf numFmtId="0" fontId="7" fillId="4" borderId="0" applyAlignment="1" pivotButton="0" quotePrefix="0" xfId="0">
      <alignment horizontal="right" vertical="center"/>
    </xf>
    <xf numFmtId="0" fontId="8" fillId="0" borderId="0" pivotButton="0" quotePrefix="0" xfId="0"/>
    <xf numFmtId="0" fontId="6" fillId="0" borderId="0" pivotButton="0" quotePrefix="0" xfId="0"/>
    <xf numFmtId="0" fontId="2" fillId="0" borderId="0" pivotButton="0" quotePrefix="0" xfId="0"/>
    <xf numFmtId="0" fontId="1" fillId="3" borderId="0" pivotButton="0" quotePrefix="0" xfId="0"/>
    <xf numFmtId="0" fontId="3" fillId="0" borderId="0" pivotButton="0" quotePrefix="0" xfId="0"/>
  </cellXfs>
  <cellStyles count="1">
    <cellStyle name="Normal" xfId="0" builtinId="0" hidden="0"/>
  </cellStyles>
  <dxfs count="2">
    <dxf>
      <font>
        <b val="1"/>
        <color rgb="00C00000"/>
      </font>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 Id="rIdSlicerCache1" Type="http://schemas.microsoft.com/office/2007/relationships/slicerCache" Target="slicerCaches/slicerCache1.xml"/><Relationship Id="rIdSlicerCache2" Type="http://schemas.microsoft.com/office/2007/relationships/slicerCache" Target="slicerCaches/slicerCache2.xml"/><Relationship Id="rIdSlicerCache3" Type="http://schemas.microsoft.com/office/2007/relationships/slicerCache" Target="slicerCaches/slicerCache3.xml"/><Relationship Id="rIdSlicerCache4" Type="http://schemas.microsoft.com/office/2007/relationships/slicerCache" Target="slicerCaches/slicerCache4.xml"/></Relationships>
</file>

<file path=xl/charts/chart1.xml><?xml version="1.0" encoding="utf-8"?>
<chartSpace xmlns="http://schemas.openxmlformats.org/drawingml/2006/chart">
  <chart>
    <title>
      <tx>
        <strRef>
          <f>'Dashboard_Summaries'!$O$4</f>
          <strCache>
            <ptCount val="1"/>
            <pt idx="0">
              <v>Closed is the largest status group (48 of 120)</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col"/>
        <grouping val="clustered"/>
        <ser>
          <idx val="0"/>
          <order val="0"/>
          <tx>
            <strRef>
              <f>'Dashboard_Summaries'!B3</f>
            </strRef>
          </tx>
          <spPr>
            <a:solidFill xmlns:a="http://schemas.openxmlformats.org/drawingml/2006/main">
              <a:srgbClr val="1F4E79"/>
            </a:solidFill>
            <a:ln xmlns:a="http://schemas.openxmlformats.org/drawingml/2006/main">
              <a:prstDash val="solid"/>
            </a:ln>
          </spPr>
          <cat>
            <numRef>
              <f>'Dashboard_Summaries'!$A$4:$A$9</f>
            </numRef>
          </cat>
          <val>
            <numRef>
              <f>'Dashboard_Summaries'!$B$4:$B$9</f>
            </numRef>
          </val>
        </ser>
        <dLbls>
          <numFmt formatCode="0;;;" sourceLinked="0"/>
          <txPr>
            <a:bodyPr xmlns:a="http://schemas.openxmlformats.org/drawingml/2006/main"/>
            <a:p xmlns:a="http://schemas.openxmlformats.org/drawingml/2006/main">
              <a:pPr>
                <a:defRPr sz="900" b="0">
                  <a:solidFill>
                    <a:srgbClr val="404040"/>
                  </a:solidFill>
                </a:defRPr>
              </a:pPr>
              <a:endParaRPr sz="900" b="0">
                <a:solidFill>
                  <a:srgbClr val="404040"/>
                </a:solidFill>
              </a:endParaRPr>
            </a:p>
          </txPr>
          <showLegendKey val="0"/>
          <showVal val="1"/>
          <showCatName val="0"/>
          <showSerName val="0"/>
          <showPercent val="0"/>
        </dLbls>
        <gapWidth val="5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strRef>
          <f>'Dashboard_Summaries'!$O$5</f>
          <strCache>
            <ptCount val="1"/>
            <pt idx="0">
              <v>All five job categories are level at 24 work orders</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bar"/>
        <grouping val="clustered"/>
        <ser>
          <idx val="0"/>
          <order val="0"/>
          <tx>
            <strRef>
              <f>'Dashboard_Summaries'!E3</f>
            </strRef>
          </tx>
          <spPr>
            <a:solidFill xmlns:a="http://schemas.openxmlformats.org/drawingml/2006/main">
              <a:srgbClr val="2E75B6"/>
            </a:solidFill>
            <a:ln xmlns:a="http://schemas.openxmlformats.org/drawingml/2006/main">
              <a:prstDash val="solid"/>
            </a:ln>
          </spPr>
          <cat>
            <numRef>
              <f>'Dashboard_Summaries'!$D$4:$D$8</f>
            </numRef>
          </cat>
          <val>
            <numRef>
              <f>'Dashboard_Summaries'!$E$4:$E$8</f>
            </numRef>
          </val>
        </ser>
        <dLbls>
          <numFmt formatCode="0;;;" sourceLinked="0"/>
          <txPr>
            <a:bodyPr xmlns:a="http://schemas.openxmlformats.org/drawingml/2006/main"/>
            <a:p xmlns:a="http://schemas.openxmlformats.org/drawingml/2006/main">
              <a:pPr>
                <a:defRPr sz="900" b="0">
                  <a:solidFill>
                    <a:srgbClr val="404040"/>
                  </a:solidFill>
                </a:defRPr>
              </a:pPr>
              <a:endParaRPr sz="900" b="0">
                <a:solidFill>
                  <a:srgbClr val="404040"/>
                </a:solidFill>
              </a:endParaRPr>
            </a:p>
          </txPr>
          <showLegendKey val="0"/>
          <showVal val="1"/>
          <showCatName val="0"/>
          <showSerName val="0"/>
          <showPercent val="0"/>
        </dLbls>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strRef>
          <f>'Dashboard_Summaries'!$O$6</f>
          <strCache>
            <ptCount val="1"/>
            <pt idx="0">
              <v>Changi Workshop has the most overdue backlog (18 of 50)</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bar"/>
        <grouping val="stacked"/>
        <ser>
          <idx val="0"/>
          <order val="0"/>
          <tx>
            <strRef>
              <f>'Dashboard_Summaries'!H3</f>
            </strRef>
          </tx>
          <spPr>
            <a:solidFill xmlns:a="http://schemas.openxmlformats.org/drawingml/2006/main">
              <a:srgbClr val="1F4E79"/>
            </a:solidFill>
            <a:ln xmlns:a="http://schemas.openxmlformats.org/drawingml/2006/main">
              <a:prstDash val="solid"/>
            </a:ln>
          </spPr>
          <cat>
            <numRef>
              <f>'Dashboard_Summaries'!$G$4:$G$8</f>
            </numRef>
          </cat>
          <val>
            <numRef>
              <f>'Dashboard_Summaries'!$H$4:$H$8</f>
            </numRef>
          </val>
        </ser>
        <ser>
          <idx val="1"/>
          <order val="1"/>
          <tx>
            <strRef>
              <f>'Dashboard_Summaries'!I3</f>
            </strRef>
          </tx>
          <spPr>
            <a:solidFill xmlns:a="http://schemas.openxmlformats.org/drawingml/2006/main">
              <a:srgbClr val="2E75B6"/>
            </a:solidFill>
            <a:ln xmlns:a="http://schemas.openxmlformats.org/drawingml/2006/main">
              <a:prstDash val="solid"/>
            </a:ln>
          </spPr>
          <cat>
            <numRef>
              <f>'Dashboard_Summaries'!$G$4:$G$8</f>
            </numRef>
          </cat>
          <val>
            <numRef>
              <f>'Dashboard_Summaries'!$I$4:$I$8</f>
            </numRef>
          </val>
        </ser>
        <ser>
          <idx val="2"/>
          <order val="2"/>
          <tx>
            <strRef>
              <f>'Dashboard_Summaries'!J3</f>
            </strRef>
          </tx>
          <spPr>
            <a:solidFill xmlns:a="http://schemas.openxmlformats.org/drawingml/2006/main">
              <a:srgbClr val="2A9D8F"/>
            </a:solidFill>
            <a:ln xmlns:a="http://schemas.openxmlformats.org/drawingml/2006/main">
              <a:prstDash val="solid"/>
            </a:ln>
          </spPr>
          <cat>
            <numRef>
              <f>'Dashboard_Summaries'!$G$4:$G$8</f>
            </numRef>
          </cat>
          <val>
            <numRef>
              <f>'Dashboard_Summaries'!$J$4:$J$8</f>
            </numRef>
          </val>
        </ser>
        <ser>
          <idx val="3"/>
          <order val="3"/>
          <tx>
            <strRef>
              <f>'Dashboard_Summaries'!K3</f>
            </strRef>
          </tx>
          <spPr>
            <a:solidFill xmlns:a="http://schemas.openxmlformats.org/drawingml/2006/main">
              <a:srgbClr val="A6A6A6"/>
            </a:solidFill>
            <a:ln xmlns:a="http://schemas.openxmlformats.org/drawingml/2006/main">
              <a:prstDash val="solid"/>
            </a:ln>
          </spPr>
          <cat>
            <numRef>
              <f>'Dashboard_Summaries'!$G$4:$G$8</f>
            </numRef>
          </cat>
          <val>
            <numRef>
              <f>'Dashboard_Summaries'!$K$4:$K$8</f>
            </numRef>
          </val>
        </ser>
        <dLbls>
          <numFmt formatCode="0;;;" sourceLinked="0"/>
          <txPr>
            <a:bodyPr xmlns:a="http://schemas.openxmlformats.org/drawingml/2006/main"/>
            <a:p xmlns:a="http://schemas.openxmlformats.org/drawingml/2006/main">
              <a:pPr>
                <a:defRPr sz="900" b="0">
                  <a:solidFill>
                    <a:srgbClr val="FFFFFF"/>
                  </a:solidFill>
                </a:defRPr>
              </a:pPr>
              <a:endParaRPr sz="900" b="0">
                <a:solidFill>
                  <a:srgbClr val="FFFFFF"/>
                </a:solidFill>
              </a:endParaRPr>
            </a:p>
          </txPr>
          <showLegendKey val="0"/>
          <showVal val="1"/>
          <showCatName val="0"/>
          <showSerName val="0"/>
          <showPercent val="0"/>
        </dLbls>
        <gapWidth val="5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legend>
      <legendPos val="b"/>
      <txPr>
        <a:bodyPr xmlns:a="http://schemas.openxmlformats.org/drawingml/2006/main"/>
        <a:p xmlns:a="http://schemas.openxmlformats.org/drawingml/2006/main">
          <a:pPr>
            <a:defRPr sz="900" b="0">
              <a:solidFill>
                <a:srgbClr val="404040"/>
              </a:solidFill>
            </a:defRPr>
          </a:pPr>
          <a:endParaRPr sz="900" b="0">
            <a:solidFill>
              <a:srgbClr val="404040"/>
            </a:solidFil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a="http://schemas.openxmlformats.org/drawingml/2006/main" xmlns="http://schemas.openxmlformats.org/drawingml/2006/spreadsheetDrawing" xmlns:xdr="http://schemas.openxmlformats.org/drawingml/2006/spreadsheetDrawing">
  <oneCellAnchor>
    <from>
      <col>3</col>
      <colOff>0</colOff>
      <row>8</row>
      <rowOff>0</rowOff>
    </from>
    <ext cx="4942857"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8</row>
      <rowOff>0</rowOff>
    </from>
    <ext cx="4942857" cy="29519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25</row>
      <rowOff>0</rowOff>
    </from>
    <ext cx="9885714"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xdr:twoCellAnchor editAs="oneCell">
    <xdr:from>
      <xdr:col>10</xdr:col>
      <xdr:colOff>38100</xdr:colOff>
      <xdr:row>3</xdr:row>
      <xdr:rowOff>0</xdr:rowOff>
    </xdr:from>
    <xdr:to>
      <xdr:col>10</xdr:col>
      <xdr:colOff>2038350</xdr:colOff>
      <xdr:row>6</xdr:row>
      <xdr:rowOff>66675</xdr:rowOff>
    </xdr:to>
    <mc:AlternateContent xmlns:mc="http://schemas.openxmlformats.org/markup-compatibility/2006">
      <mc:Choice xmlns:sle15="http://schemas.microsoft.com/office/drawing/2012/slicer" Requires="sle15">
        <xdr:graphicFrame macro="">
          <xdr:nvGraphicFramePr>
            <xdr:cNvPr id="100" name="Site"/>
            <xdr:cNvGraphicFramePr/>
          </xdr:nvGraphicFramePr>
          <xdr:xfrm>
            <a:off x="0" y="0"/>
            <a:ext cx="0" cy="0"/>
          </xdr:xfrm>
          <a:graphic>
            <a:graphicData uri="http://schemas.microsoft.com/office/drawing/2010/slicer">
              <sle:slicer xmlns:sle="http://schemas.microsoft.com/office/drawing/2010/slicer" name="Site"/>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6</xdr:row>
      <xdr:rowOff>161925</xdr:rowOff>
    </xdr:from>
    <xdr:to>
      <xdr:col>10</xdr:col>
      <xdr:colOff>2038350</xdr:colOff>
      <xdr:row>14</xdr:row>
      <xdr:rowOff>142875</xdr:rowOff>
    </xdr:to>
    <mc:AlternateContent xmlns:mc="http://schemas.openxmlformats.org/markup-compatibility/2006">
      <mc:Choice xmlns:sle15="http://schemas.microsoft.com/office/drawing/2012/slicer" Requires="sle15">
        <xdr:graphicFrame macro="">
          <xdr:nvGraphicFramePr>
            <xdr:cNvPr id="101" name="Job_Category"/>
            <xdr:cNvGraphicFramePr/>
          </xdr:nvGraphicFramePr>
          <xdr:xfrm>
            <a:off x="0" y="0"/>
            <a:ext cx="0" cy="0"/>
          </xdr:xfrm>
          <a:graphic>
            <a:graphicData uri="http://schemas.microsoft.com/office/drawing/2010/slicer">
              <sle:slicer xmlns:sle="http://schemas.microsoft.com/office/drawing/2010/slicer" name="Job_Category"/>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15</xdr:row>
      <xdr:rowOff>47625</xdr:rowOff>
    </xdr:from>
    <xdr:to>
      <xdr:col>10</xdr:col>
      <xdr:colOff>2038350</xdr:colOff>
      <xdr:row>21</xdr:row>
      <xdr:rowOff>28575</xdr:rowOff>
    </xdr:to>
    <mc:AlternateContent xmlns:mc="http://schemas.openxmlformats.org/markup-compatibility/2006">
      <mc:Choice xmlns:sle15="http://schemas.microsoft.com/office/drawing/2012/slicer" Requires="sle15">
        <xdr:graphicFrame macro="">
          <xdr:nvGraphicFramePr>
            <xdr:cNvPr id="102" name="Status"/>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21</xdr:row>
      <xdr:rowOff>123825</xdr:rowOff>
    </xdr:from>
    <xdr:to>
      <xdr:col>10</xdr:col>
      <xdr:colOff>2038350</xdr:colOff>
      <xdr:row>29</xdr:row>
      <xdr:rowOff>142875</xdr:rowOff>
    </xdr:to>
    <mc:AlternateContent xmlns:mc="http://schemas.openxmlformats.org/markup-compatibility/2006">
      <mc:Choice xmlns:sle15="http://schemas.microsoft.com/office/drawing/2012/slicer" Requires="sle15">
        <xdr:graphicFrame macro="">
          <xdr:nvGraphicFramePr>
            <xdr:cNvPr id="103" name="Assigned_To"/>
            <xdr:cNvGraphicFramePr/>
          </xdr:nvGraphicFramePr>
          <xdr:xfrm>
            <a:off x="0" y="0"/>
            <a:ext cx="0" cy="0"/>
          </xdr:xfrm>
          <a:graphic>
            <a:graphicData uri="http://schemas.microsoft.com/office/drawing/2010/slicer">
              <sle:slicer xmlns:sle="http://schemas.microsoft.com/office/drawing/2010/slicer" name="Assigned_To"/>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wsDr>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ite" sourceName="Sit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Job_Category" sourceName="Job_Categor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tatus" sourceName="Status">
  <extLst>
    <x:ext xmlns:x15="http://schemas.microsoft.com/office/spreadsheetml/2010/11/main" uri="{2F2917AC-EB37-4324-AD4E-5DD8C200BD13}">
      <x15:tableSlicerCache tableId="1" column="5"/>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Assigned_To" sourceName="Assigned_To">
  <extLst>
    <x:ext xmlns:x15="http://schemas.microsoft.com/office/spreadsheetml/2010/11/main" uri="{2F2917AC-EB37-4324-AD4E-5DD8C200BD13}">
      <x15:tableSlicerCache tableId="1"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ite" cache="Slicer_Site" caption="Site" columnCount="1" style="SlicerStyleLight1" rowHeight="225425"/>
  <slicer name="Job_Category" cache="Slicer_Job_Category" caption="Job Category" columnCount="1" style="SlicerStyleLight1" rowHeight="225425"/>
  <slicer name="Status" cache="Slicer_Status" caption="Status" columnCount="2" style="SlicerStyleLight1" rowHeight="225425"/>
  <slicer name="Assigned_To" cache="Slicer_Assigned_To" caption="Assigned To" columnCount="2" style="SlicerStyleLight1" rowHeight="225425"/>
</slicer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9.xml.rels><Relationships xmlns="http://schemas.openxmlformats.org/package/2006/relationships"><Relationship Type="http://schemas.openxmlformats.org/officeDocument/2006/relationships/drawing" Target="/xl/drawings/drawing1.xml" Id="rId1"/><Relationship Id="rIdSlicer1" Type="http://schemas.microsoft.com/office/2007/relationships/slicer" Target="../slicers/slicer1.xml"/></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6"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6" t="n">
        <v>46290</v>
      </c>
      <c r="H2" s="6" t="n">
        <v>46297</v>
      </c>
      <c r="I2" s="6"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6" t="n">
        <v>46289</v>
      </c>
      <c r="H3" s="6" t="n">
        <v>46297</v>
      </c>
      <c r="I3" s="6"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6" t="n">
        <v>46288</v>
      </c>
      <c r="H4" s="6"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6" t="n">
        <v>46287</v>
      </c>
      <c r="H5" s="6"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6" t="n">
        <v>46286</v>
      </c>
      <c r="H6" s="6"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6" t="n">
        <v>46285</v>
      </c>
      <c r="H7" s="6" t="n">
        <v>46297</v>
      </c>
      <c r="I7" s="6"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6" t="n">
        <v>46284</v>
      </c>
      <c r="H8" s="6" t="n">
        <v>46297</v>
      </c>
      <c r="I8" s="6"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6" t="n">
        <v>46283</v>
      </c>
      <c r="H9" s="6"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6" t="n">
        <v>46282</v>
      </c>
      <c r="H10" s="6"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6" t="n">
        <v>46281</v>
      </c>
      <c r="H11" s="6"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6" t="n">
        <v>46280</v>
      </c>
      <c r="H12" s="6" t="n">
        <v>46287</v>
      </c>
      <c r="I12" s="6"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t="n"/>
      <c r="G14" s="6" t="n">
        <v>46278</v>
      </c>
      <c r="H14" s="6"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6" t="n">
        <v>46277</v>
      </c>
      <c r="H15" s="6"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6" t="n">
        <v>46276</v>
      </c>
      <c r="H16" s="6"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6" t="n">
        <v>46274</v>
      </c>
      <c r="H18" s="6" t="n">
        <v>46287</v>
      </c>
      <c r="I18" s="6"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6" t="n">
        <v>46273</v>
      </c>
      <c r="H19" s="6"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6" t="n">
        <v>46272</v>
      </c>
      <c r="H20" s="6"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6" t="n">
        <v>46271</v>
      </c>
      <c r="H21" s="6"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6" t="n">
        <v>46270</v>
      </c>
      <c r="H22" s="6" t="n">
        <v>46277</v>
      </c>
      <c r="I22" s="6"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6" t="n">
        <v>46268</v>
      </c>
      <c r="H24" s="6"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6" t="n">
        <v>46267</v>
      </c>
      <c r="H25" s="6"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t="n"/>
      <c r="G26" s="6" t="n">
        <v>46266</v>
      </c>
      <c r="H26" s="6"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6" t="n">
        <v>46265</v>
      </c>
      <c r="H27" s="6" t="n">
        <v>46277</v>
      </c>
      <c r="I27" s="6"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6" t="n">
        <v>46264</v>
      </c>
      <c r="H28" s="6" t="n">
        <v>46277</v>
      </c>
      <c r="I28" s="6"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6" t="n">
        <v>46263</v>
      </c>
      <c r="H29" s="6"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6" t="n">
        <v>46262</v>
      </c>
      <c r="H30" s="6"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6" t="n">
        <v>46261</v>
      </c>
      <c r="H31" s="6"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6" t="n">
        <v>46260</v>
      </c>
      <c r="H32" s="6" t="n">
        <v>46267</v>
      </c>
      <c r="I32" s="6"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6" t="n">
        <v>46258</v>
      </c>
      <c r="H34" s="6"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6" t="n">
        <v>46257</v>
      </c>
      <c r="H35" s="6"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6" t="n">
        <v>46256</v>
      </c>
      <c r="H36" s="6"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6" t="n">
        <v>46254</v>
      </c>
      <c r="H38" s="6" t="n">
        <v>46267</v>
      </c>
      <c r="I38" s="6"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6" t="n">
        <v>46253</v>
      </c>
      <c r="H39" s="6"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6" t="n">
        <v>46252</v>
      </c>
      <c r="H40" s="6"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6" t="n">
        <v>46251</v>
      </c>
      <c r="H41" s="6"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6" t="n">
        <v>46250</v>
      </c>
      <c r="H42" s="6" t="n">
        <v>46257</v>
      </c>
      <c r="I42" s="6"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6" t="n">
        <v>46249</v>
      </c>
      <c r="H43" s="6" t="n">
        <v>46257</v>
      </c>
      <c r="I43" s="6"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6" t="n">
        <v>46248</v>
      </c>
      <c r="H44" s="6"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6" t="n">
        <v>46247</v>
      </c>
      <c r="H45" s="6"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6" t="n">
        <v>46246</v>
      </c>
      <c r="H46" s="6"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6" t="n">
        <v>46244</v>
      </c>
      <c r="H48" s="6" t="n">
        <v>46257</v>
      </c>
      <c r="I48" s="6"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6" t="n">
        <v>46243</v>
      </c>
      <c r="H49" s="6"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t="n"/>
      <c r="G50" s="6" t="n">
        <v>46242</v>
      </c>
      <c r="H50" s="6"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6" t="n">
        <v>46241</v>
      </c>
      <c r="H51" s="6"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6" t="n">
        <v>46240</v>
      </c>
      <c r="H52" s="6" t="n">
        <v>46247</v>
      </c>
      <c r="I52" s="6"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6" t="n">
        <v>46238</v>
      </c>
      <c r="H54" s="6"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6" t="n">
        <v>46237</v>
      </c>
      <c r="H55" s="6"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6" t="n">
        <v>46236</v>
      </c>
      <c r="H56" s="6"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6" t="n">
        <v>46234</v>
      </c>
      <c r="H58" s="6" t="n">
        <v>46247</v>
      </c>
      <c r="I58" s="6"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6" t="n">
        <v>46233</v>
      </c>
      <c r="H59" s="6"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6" t="n">
        <v>46232</v>
      </c>
      <c r="H60" s="6"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6" t="n">
        <v>46231</v>
      </c>
      <c r="H61" s="6"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6" t="n">
        <v>46230</v>
      </c>
      <c r="H62" s="6" t="n">
        <v>46237</v>
      </c>
      <c r="I62" s="6"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6" t="n">
        <v>46228</v>
      </c>
      <c r="H64" s="6"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6" t="n">
        <v>46227</v>
      </c>
      <c r="H65" s="6"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6" t="n">
        <v>46226</v>
      </c>
      <c r="H66" s="6"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6" t="n">
        <v>46225</v>
      </c>
      <c r="H67" s="6" t="n">
        <v>46237</v>
      </c>
      <c r="I67" s="6"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6" t="n">
        <v>46224</v>
      </c>
      <c r="H68" s="6" t="n">
        <v>46237</v>
      </c>
      <c r="I68" s="6"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6" t="n">
        <v>46223</v>
      </c>
      <c r="H69" s="6"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6" t="n">
        <v>46222</v>
      </c>
      <c r="H70" s="6"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6" t="n">
        <v>46221</v>
      </c>
      <c r="H71" s="6"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6" t="n">
        <v>46220</v>
      </c>
      <c r="H72" s="6" t="n">
        <v>46227</v>
      </c>
      <c r="I72" s="6"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t="n"/>
      <c r="G74" s="6" t="n">
        <v>46218</v>
      </c>
      <c r="H74" s="6"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6" t="n">
        <v>46217</v>
      </c>
      <c r="H75" s="6"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6" t="n">
        <v>46216</v>
      </c>
      <c r="H76" s="6"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6" t="n">
        <v>46214</v>
      </c>
      <c r="H78" s="6" t="n">
        <v>46227</v>
      </c>
      <c r="I78" s="6"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6" t="n">
        <v>46213</v>
      </c>
      <c r="H79" s="6"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6" t="n">
        <v>46212</v>
      </c>
      <c r="H80" s="6"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6" t="n">
        <v>46211</v>
      </c>
      <c r="H81" s="6"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6" t="n">
        <v>46290</v>
      </c>
      <c r="H82" s="6" t="n">
        <v>46297</v>
      </c>
      <c r="I82" s="6"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6" t="n">
        <v>46289</v>
      </c>
      <c r="H83" s="6" t="n">
        <v>46297</v>
      </c>
      <c r="I83" s="6"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6" t="n">
        <v>46288</v>
      </c>
      <c r="H84" s="6"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6" t="n">
        <v>46287</v>
      </c>
      <c r="H85" s="6"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t="n"/>
      <c r="G86" s="6" t="n">
        <v>46286</v>
      </c>
      <c r="H86" s="6"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6" t="n">
        <v>46284</v>
      </c>
      <c r="H88" s="6" t="n">
        <v>46297</v>
      </c>
      <c r="I88" s="6"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6" t="n">
        <v>46283</v>
      </c>
      <c r="H89" s="6"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6" t="n">
        <v>46282</v>
      </c>
      <c r="H90" s="6"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6" t="n">
        <v>46281</v>
      </c>
      <c r="H91" s="6"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6" t="n">
        <v>46280</v>
      </c>
      <c r="H92" s="6" t="n">
        <v>46287</v>
      </c>
      <c r="I92" s="6"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6" t="n">
        <v>46279</v>
      </c>
      <c r="H93" s="6" t="n">
        <v>46287</v>
      </c>
      <c r="I93" s="6"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6" t="n">
        <v>46278</v>
      </c>
      <c r="H94" s="6"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6" t="n">
        <v>46277</v>
      </c>
      <c r="H95" s="6"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6" t="n">
        <v>46276</v>
      </c>
      <c r="H96" s="6"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6" t="n">
        <v>46274</v>
      </c>
      <c r="H98" s="6" t="n">
        <v>46287</v>
      </c>
      <c r="I98" s="6"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6" t="n">
        <v>46273</v>
      </c>
      <c r="H99" s="6"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6" t="n">
        <v>46266</v>
      </c>
      <c r="H106" s="6"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t="n"/>
      <c r="G110" s="6" t="n">
        <v>46262</v>
      </c>
      <c r="H110" s="6"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6" t="n">
        <v>46258</v>
      </c>
      <c r="H114" s="6"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6" t="n">
        <v>46257</v>
      </c>
      <c r="H115" s="6"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POWERPOINT COPILOT</t>
        </is>
      </c>
      <c r="C2" s="2" t="inlineStr">
        <is>
          <t>POWERPOINT COPILOT:
@maintenance-reporting Audit this eight-slide deck against the selected verified Northstar brief. List inaccurate figures, ambiguous units, date/scope omissions, unsupported causal or approval wording, dense text and weak hierarchy. Propose corrections; do not change values or source facts.</t>
        </is>
      </c>
    </row>
    <row r="3">
      <c r="A3" s="2" t="inlineStr">
        <is>
          <t>Step 3</t>
        </is>
      </c>
      <c r="B3" s="2" t="inlineStr">
        <is>
          <t>POWERPOINT COPILOT</t>
        </is>
      </c>
      <c r="C3" s="2" t="inlineStr">
        <is>
          <t>POWERPOINT COPILOT:
@maintenance-reporting Apply the reviewed design and wording corrections to the existing eight slides. Improve hierarchy and whitespace, make titles claim-led, retain accurate figures and charts, and add 45-second speaker notes per slide. Separate observed findings from proposed actions and end with the decision requested. Preserve the baseline date/scope; do not duplicate slides.</t>
        </is>
      </c>
    </row>
    <row r="4">
      <c r="A4" s="2" t="inlineStr">
        <is>
          <t>Step 4</t>
        </is>
      </c>
      <c r="B4" s="2" t="inlineStr">
        <is>
          <t>POWERPOINT COPILOT</t>
        </is>
      </c>
      <c r="C4" s="2" t="inlineStr">
        <is>
          <t>POWERPOINT COPILOT:
Using only this Northstar Water Services decision deck, propose three rehearsal questions a service operations manager could ask about overdue jobs, technician capacity and proposed priorities. Suggest where the existing evidence supports an answer and where it remains UNKNOWN. Do not invent partner feedback or alter the evidence.</t>
        </is>
      </c>
    </row>
    <row r="5">
      <c r="A5" s="2" t="inlineStr">
        <is>
          <t>Step 6</t>
        </is>
      </c>
      <c r="B5" s="2" t="inlineStr">
        <is>
          <t>OUTLOOK COPILOT</t>
        </is>
      </c>
      <c r="C5" s="2" t="inlineStr">
        <is>
          <t>OUTLOOK COPILOT:
Draft a short Northstar management handoff email using this verified brief and the links I provide. State the 30 September 2026 baseline scope, headline findings, proposed actions and decision required. Explain that the PowerPoint/PDF is a static snapshot while the Excel dashboard is interactive. Leave missing links UNKNOWN. Do not claim approval or send the draft.</t>
        </is>
      </c>
    </row>
    <row r="6">
      <c r="A6" s="2" t="inlineStr">
        <is>
          <t>Step 7</t>
        </is>
      </c>
      <c r="B6" s="2" t="inlineStr">
        <is>
          <t>WORD COPILOT</t>
        </is>
      </c>
      <c r="C6" s="2" t="inlineStr">
        <is>
          <t>WORD COPILOT:
Review the final Northstar Water Services handoff evidence I supply: baseline workbook, refresh-test record, skill v2, eight-slide deck and PDF, brief, source register and unsent email draft. Return a completeness checklist with verified evidence and missing items UNKNOWN. Confirm every artifact uses the same baseline date/scope; never claim approval, submission or sending.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v/>
      </c>
      <c r="C2"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Work_Orders, tblWorkOrders, Technicians, current Assigned_To values and source IDs.</t>
        </is>
      </c>
    </row>
    <row r="3">
      <c r="A3" s="2" t="inlineStr">
        <is>
          <t>Use the reporting date from Control!B2. State the selected Site, Job_Category,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DASHBOARD LAYOUT</t>
        </is>
      </c>
    </row>
    <row r="10">
      <c r="A10" s="2" t="inlineStr">
        <is>
          <t>Dashboard sheet: title in A1; Site, Job_Category, Status and Assigned_To dropdowns in B2:B5 (All plus source values); the six measures in B7:B12; data-as-at date and selected scope in D2.</t>
        </is>
      </c>
    </row>
    <row r="11">
      <c r="A11" s="2" t="inlineStr">
        <is>
          <t>Six KPI tiles in D4:I7, one column per tile: title in row 4, large value in row 5, short definition in row 6 and "Checks: PASS" in row 7.</t>
        </is>
      </c>
    </row>
    <row r="12">
      <c r="A12" s="2" t="inlineStr">
        <is>
          <t>Charts in a grid below the tiles: work orders by status and by job category side by side, then a full-width stacked bar by site (overdue backlog, other backlog, Closed, Cancelled).</t>
        </is>
      </c>
    </row>
    <row r="13">
      <c r="A13" s="2" t="inlineStr">
        <is>
          <t>Slicers for Site, Job_Category, Status and Assigned_To on the right of the tiles, connected to tblWorkOrders. KPI formulas use SUBTOTAL visibility so slicers and dropdowns both filter every tile and chart.</t>
        </is>
      </c>
    </row>
    <row r="14">
      <c r="A14" s="2" t="inlineStr">
        <is>
          <t>Put chart summaries, chart-title formulas and KPI checks on Dashboard_Summaries. Never merge cells. Hide gridlines on Dashboard.</t>
        </is>
      </c>
    </row>
    <row r="15">
      <c r="A15" s="2" t="inlineStr">
        <is>
          <t>## DASHBOARD STYLE</t>
        </is>
      </c>
    </row>
    <row r="16">
      <c r="A16" s="2" t="inlineStr">
        <is>
          <t>Tiles: white bold text on solid navy #1F4E79 (totals and rates), blue #2E75B6 (backlog, overdue) or teal #2A9D8F (Closed, cost).</t>
        </is>
      </c>
    </row>
    <row r="17">
      <c r="A17" s="2" t="inlineStr">
        <is>
          <t>Every chart title states the finding from a cell formula, e.g. "Changi Workshop has the most overdue backlog (18 of 50)".</t>
        </is>
      </c>
    </row>
    <row r="18">
      <c r="A18" s="2" t="inlineStr">
        <is>
          <t>Show data labels on bars; no gridlines; rates as % with one decimal. Each chart total must equal B7.</t>
        </is>
      </c>
    </row>
    <row r="19">
      <c r="A19" s="2" t="inlineStr">
        <is>
          <t>## OUTPUT AND REVIEW</t>
        </is>
      </c>
    </row>
    <row r="20">
      <c r="A20" s="2" t="inlineStr">
        <is>
          <t>Use structured table references. Preserve the visible .Rules sheet and unrelated sheets, charts and Prompt_Log.</t>
        </is>
      </c>
    </row>
    <row r="21">
      <c r="A21" s="2" t="inlineStr">
        <is>
          <t>Keep current owners separate from unapproved assignment proposals. Missing facts and approvals remain UNKNOWN.</t>
        </is>
      </c>
    </row>
    <row r="22">
      <c r="A22" s="2" t="inlineStr">
        <is>
          <t>Ask before replacing named output sheets. Reconcile every count, rate and chart against source rows; do not duplicate outputs on rerun.</t>
        </is>
      </c>
    </row>
    <row r="23">
      <c r="A23" s="2">
        <f>"Reporting date: "&amp;TEXT(Control!B2,"yyyy-mm-dd")</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showGridLines="0" zoomScale="85" workbookViewId="0">
      <selection activeCell="A1" sqref="A1"/>
    </sheetView>
  </sheetViews>
  <sheetFormatPr baseColWidth="8" defaultRowHeight="15"/>
  <cols>
    <col width="19" customWidth="1" min="1" max="1"/>
    <col width="17" customWidth="1" min="2" max="2"/>
    <col width="2" customWidth="1" min="3" max="3"/>
    <col width="24" customWidth="1" min="4" max="4"/>
    <col width="24" customWidth="1" min="5" max="5"/>
    <col width="24" customWidth="1" min="6" max="6"/>
    <col width="24" customWidth="1" min="7" max="7"/>
    <col width="24" customWidth="1" min="8" max="8"/>
    <col width="24" customWidth="1" min="9" max="9"/>
    <col width="2" customWidth="1" min="10" max="10"/>
    <col width="31" customWidth="1" min="11" max="11"/>
  </cols>
  <sheetData>
    <row r="1" ht="34" customHeight="1">
      <c r="A1" s="9">
        <f>"Northstar Maintenance Dashboard — Q3 work orders to "&amp;TEXT(Control!$B$2,"dd-mmm-yyyy")</f>
        <v/>
      </c>
    </row>
    <row r="2" ht="20" customHeight="1">
      <c r="A2" s="10" t="inlineStr">
        <is>
          <t>Site</t>
        </is>
      </c>
      <c r="B2" s="11" t="inlineStr">
        <is>
          <t>All</t>
        </is>
      </c>
      <c r="D2" s="12">
        <f>"Data as at "&amp;TEXT(Control!$B$2,"yyyy-mm-dd")&amp;"   ·   Site: "&amp;$B$2&amp;"  ·  Category: "&amp;$B$3&amp;"  ·  Status: "&amp;$B$4&amp;"  ·  Owner: "&amp;$B$5</f>
        <v/>
      </c>
    </row>
    <row r="3" ht="18" customHeight="1">
      <c r="A3" s="10" t="inlineStr">
        <is>
          <t>Job_Category</t>
        </is>
      </c>
      <c r="B3" s="11" t="inlineStr">
        <is>
          <t>All</t>
        </is>
      </c>
      <c r="D3" s="13">
        <f>IF(SUBTOTAL(103,tblWorkOrders[Work_Order_ID])&lt;ROWS(tblWorkOrders[Work_Order_ID]),"⚠ Slicer filter active: "&amp;SUBTOTAL(103,tblWorkOrders[Work_Order_ID])&amp;" of "&amp;ROWS(tblWorkOrders[Work_Order_ID])&amp;" source rows included. Clear the slicers for the full baseline.","All "&amp;ROWS(tblWorkOrders[Work_Order_ID])&amp;" source rows available (no slicer filter).")</f>
        <v/>
      </c>
    </row>
    <row r="4" ht="26" customHeight="1">
      <c r="A4" s="10" t="inlineStr">
        <is>
          <t>Status</t>
        </is>
      </c>
      <c r="B4" s="11" t="inlineStr">
        <is>
          <t>All</t>
        </is>
      </c>
      <c r="D4" s="14" t="inlineStr">
        <is>
          <t>Total work orders</t>
        </is>
      </c>
      <c r="E4" s="15" t="inlineStr">
        <is>
          <t>Backlog</t>
        </is>
      </c>
      <c r="F4" s="15" t="inlineStr">
        <is>
          <t>Overdue backlog</t>
        </is>
      </c>
      <c r="G4" s="16" t="inlineStr">
        <is>
          <t>Closed</t>
        </is>
      </c>
      <c r="H4" s="14" t="inlineStr">
        <is>
          <t>On-time closure rate</t>
        </is>
      </c>
      <c r="I4" s="16" t="inlineStr">
        <is>
          <t>Recorded cost</t>
        </is>
      </c>
    </row>
    <row r="5" ht="50" customHeight="1">
      <c r="A5" s="10" t="inlineStr">
        <is>
          <t>Assigned_To</t>
        </is>
      </c>
      <c r="B5" s="11" t="inlineStr">
        <is>
          <t>All</t>
        </is>
      </c>
      <c r="D5" s="17">
        <f>B7</f>
        <v/>
      </c>
      <c r="E5" s="18">
        <f>B8</f>
        <v/>
      </c>
      <c r="F5" s="18">
        <f>B9</f>
        <v/>
      </c>
      <c r="G5" s="19">
        <f>B10</f>
        <v/>
      </c>
      <c r="H5" s="20">
        <f>B11</f>
        <v/>
      </c>
      <c r="I5" s="21">
        <f>B12</f>
        <v/>
      </c>
    </row>
    <row r="6" ht="38" customHeight="1">
      <c r="A6" s="22" t="inlineStr">
        <is>
          <t>Measure</t>
        </is>
      </c>
      <c r="B6" s="22" t="inlineStr">
        <is>
          <t>Current selection</t>
        </is>
      </c>
      <c r="D6" s="23">
        <f>"Selected of "&amp;ROWS(tblWorkOrders[Work_Order_ID])&amp;" rows in tblWorkOrders"</f>
        <v/>
      </c>
      <c r="E6" s="24">
        <f>IF(B7=0,"No rows selected",TEXT(B8/B7,"0%")&amp;" of selection; "&amp;Dashboard_Summaries!O7&amp;" unassigned")</f>
        <v/>
      </c>
      <c r="F6" s="24">
        <f>"Backlog due before "&amp;TEXT(Control!$B$2,"dd-mmm-yyyy")</f>
        <v/>
      </c>
      <c r="G6" s="25">
        <f>"Cancelled in selection: "&amp;Dashboard_Summaries!B9</f>
        <v/>
      </c>
      <c r="H6" s="23">
        <f>IF(B10=0,"No closed jobs in selection",Dashboard_Summaries!O8&amp;" of "&amp;B10&amp;" closed by due date")</f>
        <v/>
      </c>
      <c r="I6" s="25">
        <f>"Cost_SGD, all statuses; not a budget"</f>
        <v/>
      </c>
    </row>
    <row r="7" ht="22" customHeight="1">
      <c r="A7" s="26" t="inlineStr">
        <is>
          <t>Total work orders</t>
        </is>
      </c>
      <c r="B7"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f>
        <v/>
      </c>
      <c r="D7" s="28">
        <f>"Checks: "&amp;Dashboard_Summaries!O11</f>
        <v/>
      </c>
      <c r="E7" s="29">
        <f>"Checks: "&amp;Dashboard_Summaries!O12</f>
        <v/>
      </c>
      <c r="F7" s="29">
        <f>"Checks: "&amp;Dashboard_Summaries!O13</f>
        <v/>
      </c>
      <c r="G7" s="30">
        <f>"Checks: "&amp;Dashboard_Summaries!O14</f>
        <v/>
      </c>
      <c r="H7" s="28">
        <f>"Checks: "&amp;Dashboard_Summaries!O15</f>
        <v/>
      </c>
      <c r="I7" s="30">
        <f>"Checks: "&amp;Dashboard_Summaries!O16</f>
        <v/>
      </c>
    </row>
    <row r="8" ht="10" customHeight="1">
      <c r="A8" s="26" t="inlineStr">
        <is>
          <t>Backlog</t>
        </is>
      </c>
      <c r="B8"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lt;&gt;"Closed")*(tblWorkOrders[Status]&lt;&gt;"Cancelled"))</f>
        <v/>
      </c>
    </row>
    <row r="9">
      <c r="A9" s="26" t="inlineStr">
        <is>
          <t>Overdue backlog</t>
        </is>
      </c>
      <c r="B9"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lt;&gt;"Closed")*(tblWorkOrders[Status]&lt;&gt;"Cancelled")*(tblWorkOrders[Due_Date]&lt;Control!$B$2))</f>
        <v/>
      </c>
    </row>
    <row r="10">
      <c r="A10" s="26" t="inlineStr">
        <is>
          <t>Closed</t>
        </is>
      </c>
      <c r="B10"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Closed"))</f>
        <v/>
      </c>
    </row>
    <row r="11">
      <c r="A11" s="26" t="inlineStr">
        <is>
          <t>On-time closure rate</t>
        </is>
      </c>
      <c r="B11" s="31">
        <f>IF(B10=0,"N/A",Dashboard_Summaries!O8/B10)</f>
        <v/>
      </c>
    </row>
    <row r="12">
      <c r="A12" s="26" t="inlineStr">
        <is>
          <t>Recorded cost (S$)</t>
        </is>
      </c>
      <c r="B12" s="32">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Cost_SGD])</f>
        <v/>
      </c>
    </row>
    <row r="13">
      <c r="A13" s="33" t="inlineStr">
        <is>
          <t>Rows after slicers</t>
        </is>
      </c>
      <c r="B13" s="34">
        <f>SUBTOTAL(103,tblWorkOrders[Work_Order_ID])</f>
        <v/>
      </c>
    </row>
    <row r="15">
      <c r="A15" s="35" t="inlineStr">
        <is>
          <t>How to filter</t>
        </is>
      </c>
    </row>
    <row r="16">
      <c r="A16" s="36" t="inlineStr">
        <is>
          <t>• Dropdowns B2:B5 or the slicers</t>
        </is>
      </c>
    </row>
    <row r="17">
      <c r="A17" s="36" t="inlineStr">
        <is>
          <t xml:space="preserve">  both filter every tile and chart.</t>
        </is>
      </c>
    </row>
    <row r="18">
      <c r="A18" s="36" t="inlineStr">
        <is>
          <t>• Unassigned = blank Assigned_To.</t>
        </is>
      </c>
    </row>
    <row r="19">
      <c r="A19" s="36" t="inlineStr">
        <is>
          <t>• Baseline: all All, slicers cleared.</t>
        </is>
      </c>
    </row>
    <row r="20">
      <c r="A20" s="36" t="inlineStr">
        <is>
          <t>• Summaries + checks:</t>
        </is>
      </c>
    </row>
    <row r="21">
      <c r="A21" s="36" t="inlineStr">
        <is>
          <t xml:space="preserve">  Dashboard_Summaries sheet.</t>
        </is>
      </c>
    </row>
  </sheetData>
  <conditionalFormatting sqref="D3">
    <cfRule type="expression" priority="1" dxfId="0">
      <formula>LEFT($D$3,1)="⚠"</formula>
    </cfRule>
  </conditionalFormatting>
  <dataValidations count="4">
    <dataValidation sqref="B2" showDropDown="0" showInputMessage="0" showErrorMessage="1" allowBlank="0" errorTitle="Choose from the list" error="Pick All or a value from the dropdown." type="list">
      <formula1>'Filter_Lists'!$A$1:$A$6</formula1>
    </dataValidation>
    <dataValidation sqref="B3" showDropDown="0" showInputMessage="0" showErrorMessage="1" allowBlank="0" errorTitle="Choose from the list" error="Pick All or a value from the dropdown." type="list">
      <formula1>'Filter_Lists'!$B$1:$B$6</formula1>
    </dataValidation>
    <dataValidation sqref="B4" showDropDown="0" showInputMessage="0" showErrorMessage="1" allowBlank="0" errorTitle="Choose from the list" error="Pick All or a value from the dropdown." type="list">
      <formula1>'Filter_Lists'!$C$1:$C$7</formula1>
    </dataValidation>
    <dataValidation sqref="B5" showDropDown="0" showInputMessage="0" showErrorMessage="1" allowBlank="0" errorTitle="Choose from the list" error="Pick All or a value from the dropdown." type="list">
      <formula1>'Filter_Lists'!$D$1:$D$10</formula1>
    </dataValidation>
  </dataValidations>
  <pageMargins left="0.75" right="0.75" top="1" bottom="1" header="0.5" footer="0.5"/>
  <drawing xmlns:r="http://schemas.openxmlformats.org/officeDocument/2006/relationships" r:id="rId1"/>
  <extLst>
    <ext xmlns:x15="http://schemas.microsoft.com/office/spreadsheetml/2010/11/main" uri="{3A4CF648-6AED-40f4-86FF-DC5316D8AED3}">
      <x14:slicerList xmlns:x14="http://schemas.microsoft.com/office/spreadsheetml/2009/9/main">
        <x14:slicer xmlns:r="http://schemas.openxmlformats.org/officeDocument/2006/relationships" r:id="rIdSlicer1"/>
      </x14:slicerList>
    </ext>
  </extLst>
</worksheet>
</file>

<file path=xl/worksheets/sheet10.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cols>
    <col width="16" customWidth="1" min="1" max="1"/>
    <col width="12" customWidth="1" min="2" max="2"/>
    <col width="3" customWidth="1" min="3" max="3"/>
    <col width="18" customWidth="1" min="4" max="4"/>
    <col width="12" customWidth="1" min="5" max="5"/>
    <col width="3" customWidth="1" min="6" max="6"/>
    <col width="18" customWidth="1" min="7" max="7"/>
    <col width="15" customWidth="1" min="8" max="8"/>
    <col width="13" customWidth="1" min="9" max="9"/>
    <col width="10" customWidth="1" min="10" max="10"/>
    <col width="11" customWidth="1" min="11" max="11"/>
    <col width="9" customWidth="1" min="12" max="12"/>
    <col width="3" customWidth="1" min="13" max="13"/>
    <col width="30" customWidth="1" min="14" max="14"/>
    <col width="70" customWidth="1" min="15" max="15"/>
  </cols>
  <sheetData>
    <row r="1">
      <c r="A1" s="37" t="inlineStr">
        <is>
          <t>Dashboard chart summaries, titles and checks (formula-backed; same selection as Dashboard)</t>
        </is>
      </c>
    </row>
    <row r="3">
      <c r="A3" s="38" t="inlineStr">
        <is>
          <t>Status</t>
        </is>
      </c>
      <c r="B3" s="38" t="inlineStr">
        <is>
          <t>Work orders</t>
        </is>
      </c>
      <c r="D3" s="38" t="inlineStr">
        <is>
          <t>Job category</t>
        </is>
      </c>
      <c r="E3" s="38" t="inlineStr">
        <is>
          <t>Work orders</t>
        </is>
      </c>
      <c r="G3" s="38" t="inlineStr">
        <is>
          <t>Site</t>
        </is>
      </c>
      <c r="H3" s="38" t="inlineStr">
        <is>
          <t>Overdue backlog</t>
        </is>
      </c>
      <c r="I3" s="38" t="inlineStr">
        <is>
          <t>Other backlog</t>
        </is>
      </c>
      <c r="J3" s="38" t="inlineStr">
        <is>
          <t>Closed</t>
        </is>
      </c>
      <c r="K3" s="38" t="inlineStr">
        <is>
          <t>Cancelled</t>
        </is>
      </c>
      <c r="L3" s="38" t="inlineStr">
        <is>
          <t>Total</t>
        </is>
      </c>
      <c r="N3" s="38" t="inlineStr">
        <is>
          <t>Item</t>
        </is>
      </c>
      <c r="O3" s="38" t="inlineStr">
        <is>
          <t>Value</t>
        </is>
      </c>
    </row>
    <row r="4">
      <c r="A4" t="inlineStr">
        <is>
          <t>New</t>
        </is>
      </c>
      <c r="B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4))</f>
        <v/>
      </c>
      <c r="D4" t="inlineStr">
        <is>
          <t>Leak Repair</t>
        </is>
      </c>
      <c r="E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4))</f>
        <v/>
      </c>
      <c r="G4" t="inlineStr">
        <is>
          <t>Woodlands Hub</t>
        </is>
      </c>
      <c r="H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4))</f>
        <v/>
      </c>
      <c r="I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4))-H4</f>
        <v/>
      </c>
      <c r="J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4))</f>
        <v/>
      </c>
      <c r="K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4))</f>
        <v/>
      </c>
      <c r="L4">
        <f>SUM(H4:K4)</f>
        <v/>
      </c>
      <c r="N4" t="inlineStr">
        <is>
          <t>Status chart title</t>
        </is>
      </c>
      <c r="O4">
        <f>IF(Dashboard!$B$7=0,"No work orders in the current selection",IF(COUNTIF(B4:B9,MAX(B4:B9))&gt;1,COUNTIF(B4:B9,MAX(B4:B9))&amp;" statuses tie for most work orders ("&amp;MAX(B4:B9)&amp;" each)",INDEX(A4:A9,MATCH(MAX(B4:B9),B4:B9,0))&amp;" is the largest status group ("&amp;MAX(B4:B9)&amp;" of "&amp;Dashboard!$B$7&amp;")"))</f>
        <v/>
      </c>
    </row>
    <row r="5">
      <c r="A5" t="inlineStr">
        <is>
          <t>Assigned</t>
        </is>
      </c>
      <c r="B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5))</f>
        <v/>
      </c>
      <c r="D5" t="inlineStr">
        <is>
          <t>Valve Repair</t>
        </is>
      </c>
      <c r="E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5))</f>
        <v/>
      </c>
      <c r="G5" t="inlineStr">
        <is>
          <t>Jurong Depot</t>
        </is>
      </c>
      <c r="H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5))</f>
        <v/>
      </c>
      <c r="I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5))-H5</f>
        <v/>
      </c>
      <c r="J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5))</f>
        <v/>
      </c>
      <c r="K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5))</f>
        <v/>
      </c>
      <c r="L5">
        <f>SUM(H5:K5)</f>
        <v/>
      </c>
      <c r="N5" t="inlineStr">
        <is>
          <t>Category chart title</t>
        </is>
      </c>
      <c r="O5">
        <f>IF(Dashboard!$B$7=0,"No work orders in the current selection",IF(MAX(E4:E8)=MIN(E4:E8),"All five job categories are level at "&amp;MAX(E4:E8)&amp;" work orders",IF(COUNTIF(E4:E8,MAX(E4:E8))&gt;1,COUNTIF(E4:E8,MAX(E4:E8))&amp;" categories tie for most work orders ("&amp;MAX(E4:E8)&amp;" each)",INDEX(D4:D8,MATCH(MAX(E4:E8),E4:E8,0))&amp;" has the most work orders ("&amp;MAX(E4:E8)&amp;")")))</f>
        <v/>
      </c>
    </row>
    <row r="6">
      <c r="A6" t="inlineStr">
        <is>
          <t>In Progress</t>
        </is>
      </c>
      <c r="B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6))</f>
        <v/>
      </c>
      <c r="D6" t="inlineStr">
        <is>
          <t>Pipe Replacement</t>
        </is>
      </c>
      <c r="E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6))</f>
        <v/>
      </c>
      <c r="G6" t="inlineStr">
        <is>
          <t>Tampines Centre</t>
        </is>
      </c>
      <c r="H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6))</f>
        <v/>
      </c>
      <c r="I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6))-H6</f>
        <v/>
      </c>
      <c r="J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6))</f>
        <v/>
      </c>
      <c r="K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6))</f>
        <v/>
      </c>
      <c r="L6">
        <f>SUM(H6:K6)</f>
        <v/>
      </c>
      <c r="N6" t="inlineStr">
        <is>
          <t>Site chart title</t>
        </is>
      </c>
      <c r="O6">
        <f>IF(H9=0,"No overdue backlog in the current selection",IF(COUNTIF(H4:H8,MAX(H4:H8))&gt;1,COUNTIF(H4:H8,MAX(H4:H8))&amp;" sites tie for most overdue backlog ("&amp;MAX(H4:H8)&amp;" each)",INDEX(G4:G8,MATCH(MAX(H4:H8),H4:H8,0))&amp;" has the most overdue backlog ("&amp;MAX(H4:H8)&amp;" of "&amp;H9&amp;")"))</f>
        <v/>
      </c>
    </row>
    <row r="7">
      <c r="A7" t="inlineStr">
        <is>
          <t>On Hold</t>
        </is>
      </c>
      <c r="B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7))</f>
        <v/>
      </c>
      <c r="D7" t="inlineStr">
        <is>
          <t>Pump Service</t>
        </is>
      </c>
      <c r="E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7))</f>
        <v/>
      </c>
      <c r="G7" t="inlineStr">
        <is>
          <t>Paya Lebar Office</t>
        </is>
      </c>
      <c r="H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7))</f>
        <v/>
      </c>
      <c r="I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7))-H7</f>
        <v/>
      </c>
      <c r="J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7))</f>
        <v/>
      </c>
      <c r="K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7))</f>
        <v/>
      </c>
      <c r="L7">
        <f>SUM(H7:K7)</f>
        <v/>
      </c>
      <c r="N7" t="inlineStr">
        <is>
          <t>Unassigned backlog</t>
        </is>
      </c>
      <c r="O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Assigned_To]=""))</f>
        <v/>
      </c>
    </row>
    <row r="8">
      <c r="A8" t="inlineStr">
        <is>
          <t>Closed</t>
        </is>
      </c>
      <c r="B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8))</f>
        <v/>
      </c>
      <c r="D8" t="inlineStr">
        <is>
          <t>Meter Service</t>
        </is>
      </c>
      <c r="E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8))</f>
        <v/>
      </c>
      <c r="G8" t="inlineStr">
        <is>
          <t>Changi Workshop</t>
        </is>
      </c>
      <c r="H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8))</f>
        <v/>
      </c>
      <c r="I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8))-H8</f>
        <v/>
      </c>
      <c r="J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8))</f>
        <v/>
      </c>
      <c r="K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8))</f>
        <v/>
      </c>
      <c r="L8">
        <f>SUM(H8:K8)</f>
        <v/>
      </c>
      <c r="N8" t="inlineStr">
        <is>
          <t>Closed on or before due date</t>
        </is>
      </c>
      <c r="O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Closed_Date]&lt;=tblWorkOrders[Due_Date]))</f>
        <v/>
      </c>
    </row>
    <row r="9">
      <c r="A9" t="inlineStr">
        <is>
          <t>Cancelled</t>
        </is>
      </c>
      <c r="B9">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9))</f>
        <v/>
      </c>
      <c r="D9" s="39" t="inlineStr">
        <is>
          <t>Total</t>
        </is>
      </c>
      <c r="E9" s="39">
        <f>SUM(E4:E8)</f>
        <v/>
      </c>
      <c r="G9" s="39" t="inlineStr">
        <is>
          <t>Total</t>
        </is>
      </c>
      <c r="H9" s="39">
        <f>SUM(H4:H8)</f>
        <v/>
      </c>
      <c r="I9" s="39">
        <f>SUM(I4:I8)</f>
        <v/>
      </c>
      <c r="J9" s="39">
        <f>SUM(J4:J8)</f>
        <v/>
      </c>
      <c r="K9" s="39">
        <f>SUM(K4:K8)</f>
        <v/>
      </c>
      <c r="L9" s="39">
        <f>SUM(L4:L8)</f>
        <v/>
      </c>
      <c r="N9" t="inlineStr">
        <is>
          <t>Baseline view (All, no slicer)</t>
        </is>
      </c>
      <c r="O9">
        <f>AND(Dashboard!$B$2="All",Dashboard!$B$3="All",Dashboard!$B$4="All",Dashboard!$B$5="All",SUBTOTAL(103,tblWorkOrders[Work_Order_ID])=ROWS(tblWorkOrders[Work_Order_ID]))</f>
        <v/>
      </c>
    </row>
    <row r="10">
      <c r="A10" s="39" t="inlineStr">
        <is>
          <t>Total</t>
        </is>
      </c>
      <c r="B10" s="39">
        <f>SUM(B4:B9)</f>
        <v/>
      </c>
      <c r="N10" t="inlineStr">
        <is>
          <t>Charts reconcile to B7</t>
        </is>
      </c>
      <c r="O10">
        <f>AND(B10=Dashboard!$B$7,E9=Dashboard!$B$7,L9=Dashboard!$B$7)</f>
        <v/>
      </c>
    </row>
    <row r="11">
      <c r="N11" t="inlineStr">
        <is>
          <t>Check: total work orders</t>
        </is>
      </c>
      <c r="O11">
        <f>IF(AND(O10,OR(NOT(O9),Dashboard!$B$7=Control!$B$3)),"PASS","REVIEW")</f>
        <v/>
      </c>
    </row>
    <row r="12">
      <c r="N12" t="inlineStr">
        <is>
          <t>Check: backlog</t>
        </is>
      </c>
      <c r="O12">
        <f>IF(AND(Dashboard!$B$7=Dashboard!$B$8+Dashboard!$B$10+B9,OR(NOT(O9),Dashboard!$B$8=Control!$B$6)),"PASS","REVIEW")</f>
        <v/>
      </c>
    </row>
    <row r="13">
      <c r="N13" t="inlineStr">
        <is>
          <t>Check: overdue backlog</t>
        </is>
      </c>
      <c r="O13">
        <f>IF(AND(Dashboard!$B$9&lt;=Dashboard!$B$8,H9=Dashboard!$B$9,OR(NOT(O9),Dashboard!$B$9=Control!$B$7)),"PASS","REVIEW")</f>
        <v/>
      </c>
    </row>
    <row r="14">
      <c r="N14" t="inlineStr">
        <is>
          <t>Check: closed</t>
        </is>
      </c>
      <c r="O14">
        <f>IF(AND(Dashboard!$B$10=B8,OR(NOT(O9),Dashboard!$B$10=Control!$B$4)),"PASS","REVIEW")</f>
        <v/>
      </c>
    </row>
    <row r="15">
      <c r="N15" t="inlineStr">
        <is>
          <t>Check: on-time rate</t>
        </is>
      </c>
      <c r="O15">
        <f>IF(Dashboard!$B$10=0,IF(Dashboard!$B$11="N/A","PASS","REVIEW"),IF(AND(ROUND(O8/Dashboard!$B$10-Dashboard!$B$11,6)=0,OR(NOT(O9),ROUND(Dashboard!$B$11-Control!$B$10,6)=0)),"PASS","REVIEW"))</f>
        <v/>
      </c>
    </row>
    <row r="16">
      <c r="N16" t="inlineStr">
        <is>
          <t>Check: recorded cost</t>
        </is>
      </c>
      <c r="O16">
        <f>IF(AND(ROUND(Dashboard!$B$12-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Cost_SGD]),2)=0,OR(NOT(O9),ROUND(Dashboard!$B$12-Control!$B$11,2)=0)),"PASS","REVIEW")</f>
        <v/>
      </c>
    </row>
  </sheetData>
  <conditionalFormatting sqref="B10">
    <cfRule type="expression" priority="1" dxfId="1">
      <formula>B10&lt;&gt;Dashboard!$B$7</formula>
    </cfRule>
  </conditionalFormatting>
  <conditionalFormatting sqref="E9">
    <cfRule type="expression" priority="2" dxfId="1">
      <formula>E9&lt;&gt;Dashboard!$B$7</formula>
    </cfRule>
  </conditionalFormatting>
  <conditionalFormatting sqref="L9">
    <cfRule type="expression" priority="3" dxfId="1">
      <formula>L9&lt;&gt;Dashboard!$B$7</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Woodlands Hub</t>
        </is>
      </c>
      <c r="B2" t="inlineStr">
        <is>
          <t>Leak Repair</t>
        </is>
      </c>
      <c r="C2" t="inlineStr">
        <is>
          <t>New</t>
        </is>
      </c>
      <c r="D2" t="inlineStr">
        <is>
          <t>Aisha Tan</t>
        </is>
      </c>
    </row>
    <row r="3">
      <c r="A3" t="inlineStr">
        <is>
          <t>Jurong Depot</t>
        </is>
      </c>
      <c r="B3" t="inlineStr">
        <is>
          <t>Valve Repair</t>
        </is>
      </c>
      <c r="C3" t="inlineStr">
        <is>
          <t>Assigned</t>
        </is>
      </c>
      <c r="D3" t="inlineStr">
        <is>
          <t>Ben Lim</t>
        </is>
      </c>
    </row>
    <row r="4">
      <c r="A4" t="inlineStr">
        <is>
          <t>Tampines Centre</t>
        </is>
      </c>
      <c r="B4" t="inlineStr">
        <is>
          <t>Pipe Replacement</t>
        </is>
      </c>
      <c r="C4" t="inlineStr">
        <is>
          <t>In Progress</t>
        </is>
      </c>
      <c r="D4" t="inlineStr">
        <is>
          <t>Chloe Goh</t>
        </is>
      </c>
    </row>
    <row r="5">
      <c r="A5" t="inlineStr">
        <is>
          <t>Paya Lebar Office</t>
        </is>
      </c>
      <c r="B5" t="inlineStr">
        <is>
          <t>Pump Service</t>
        </is>
      </c>
      <c r="C5" t="inlineStr">
        <is>
          <t>On Hold</t>
        </is>
      </c>
      <c r="D5" t="inlineStr">
        <is>
          <t>Daniel Lee</t>
        </is>
      </c>
    </row>
    <row r="6">
      <c r="A6" t="inlineStr">
        <is>
          <t>Changi Workshop</t>
        </is>
      </c>
      <c r="B6" t="inlineStr">
        <is>
          <t>Meter Service</t>
        </is>
      </c>
      <c r="C6" t="inlineStr">
        <is>
          <t>Closed</t>
        </is>
      </c>
      <c r="D6" t="inlineStr">
        <is>
          <t>Elena Ong</t>
        </is>
      </c>
    </row>
    <row r="7">
      <c r="C7" t="inlineStr">
        <is>
          <t>Cancelled</t>
        </is>
      </c>
      <c r="D7" t="inlineStr">
        <is>
          <t>Farid Rahman</t>
        </is>
      </c>
    </row>
    <row r="8">
      <c r="D8" t="inlineStr">
        <is>
          <t>Grace Ng</t>
        </is>
      </c>
    </row>
    <row r="9">
      <c r="D9" t="inlineStr">
        <is>
          <t>Hari Kumar</t>
        </is>
      </c>
    </row>
    <row r="10">
      <c r="D10" t="inlineStr">
        <is>
          <t>Unassigned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2026-10-18T08:54:16Z</dcterms:created>
  <dcterms:modified xmlns:dcterms="http://purl.org/dc/terms/" xmlns:xsi="http://www.w3.org/2001/XMLSchema-instance" xsi:type="dcterms:W3CDTF">2026-10-18T08:54:16Z</dcterms:modified>
</cp:coreProperties>
</file>