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 xmlns:r="http://schemas.openxmlformats.org/officeDocument/2006/relationships" name=".Rules" sheetId="8" state="visible" r:id="rId8"/>
    <sheet xmlns:r="http://schemas.openxmlformats.org/officeDocument/2006/relationships" name="Dashboard" sheetId="9" state="visible" r:id="rId9"/>
    <sheet xmlns:r="http://schemas.openxmlformats.org/officeDocument/2006/relationships" name="Dashboard_Summaries" sheetId="10" state="visible" r:id="rId10"/>
    <sheet xmlns:r="http://schemas.openxmlformats.org/officeDocument/2006/relationships" name="Filter_Lists" sheetId="11" state="hidden" r:id="rId11"/>
  </sheets>
  <definedNames>
    <definedName name="Slicer_Site">#N/A</definedName>
    <definedName name="Slicer_Job_Category">#N/A</definedName>
    <definedName name="Slicer_Status">#N/A</definedName>
    <definedName name="Slicer_Assigned_To">#N/A</definedName>
  </definedNames>
  <calcPr calcId="124519" fullCalcOnLoad="1"/>
  <extLst>
    <ext xmlns:x15="http://schemas.microsoft.com/office/spreadsheetml/2010/11/main" uri="{46BE6895-7355-4a93-B00E-2C351335B9C9}">
      <x15:slicerCaches xmlns:x14="http://schemas.microsoft.com/office/spreadsheetml/2009/9/main">
        <x14:slicerCache xmlns:r="http://schemas.openxmlformats.org/officeDocument/2006/relationships" r:id="rIdSlicerCache1"/>
        <x14:slicerCache xmlns:r="http://schemas.openxmlformats.org/officeDocument/2006/relationships" r:id="rIdSlicerCache2"/>
        <x14:slicerCache xmlns:r="http://schemas.openxmlformats.org/officeDocument/2006/relationships" r:id="rIdSlicerCache3"/>
        <x14:slicerCache xmlns:r="http://schemas.openxmlformats.org/officeDocument/2006/relationships" r:id="rIdSlicerCache4"/>
      </x15:slicerCaches>
    </ext>
  </extLst>
</workbook>
</file>

<file path=xl/styles.xml><?xml version="1.0" encoding="utf-8"?>
<styleSheet xmlns="http://schemas.openxmlformats.org/spreadsheetml/2006/main">
  <numFmts count="3">
    <numFmt numFmtId="164" formatCode="yyyy-mm-dd"/>
    <numFmt numFmtId="165" formatCode="0.0%"/>
    <numFmt numFmtId="166" formatCode="&quot;S$&quot;#,##0.00"/>
  </numFmts>
  <fonts count="13">
    <font>
      <name val="Calibri"/>
      <family val="2"/>
      <color theme="1"/>
      <sz val="11"/>
      <scheme val="minor"/>
    </font>
    <font>
      <b val="1"/>
      <color rgb="00FFFFFF"/>
    </font>
    <font>
      <b val="1"/>
      <color rgb="001F4E79"/>
      <sz val="13"/>
    </font>
    <font>
      <b val="1"/>
      <color rgb="001F4E79"/>
    </font>
    <font>
      <b val="1"/>
      <color rgb="001F4E79"/>
      <sz val="20"/>
    </font>
    <font>
      <i val="1"/>
      <color rgb="00404040"/>
      <sz val="11"/>
    </font>
    <font>
      <color rgb="00595959"/>
      <sz val="9"/>
    </font>
    <font>
      <i val="1"/>
      <color rgb="00595959"/>
    </font>
    <font>
      <b val="1"/>
      <color rgb="001F4E79"/>
      <sz val="9"/>
    </font>
    <font>
      <b val="1"/>
      <color rgb="00FFFFFF"/>
      <sz val="12"/>
    </font>
    <font>
      <b val="1"/>
      <color rgb="00FFFFFF"/>
      <sz val="28"/>
    </font>
    <font>
      <color rgb="00FFFFFF"/>
      <sz val="9"/>
    </font>
    <font>
      <b val="1"/>
      <color rgb="00FFFFFF"/>
      <sz val="9"/>
    </font>
  </fonts>
  <fills count="8">
    <fill>
      <patternFill/>
    </fill>
    <fill>
      <patternFill patternType="gray125"/>
    </fill>
    <fill>
      <patternFill patternType="solid">
        <fgColor rgb="001F6FEB"/>
      </patternFill>
    </fill>
    <fill>
      <patternFill patternType="solid">
        <fgColor rgb="001F4E79"/>
      </patternFill>
    </fill>
    <fill>
      <patternFill patternType="solid">
        <fgColor rgb="00F3F6FA"/>
      </patternFill>
    </fill>
    <fill>
      <patternFill patternType="solid">
        <fgColor rgb="00DDEBF7"/>
      </patternFill>
    </fill>
    <fill>
      <patternFill patternType="solid">
        <fgColor rgb="002E75B6"/>
      </patternFill>
    </fill>
    <fill>
      <patternFill patternType="solid">
        <fgColor rgb="002A9D8F"/>
      </patternFill>
    </fill>
  </fills>
  <borders count="4">
    <border>
      <left/>
      <right/>
      <top/>
      <bottom/>
      <diagonal/>
    </border>
    <border>
      <left style="thin">
        <color rgb="002E75B6"/>
      </left>
      <right style="thin">
        <color rgb="002E75B6"/>
      </right>
      <top style="thin">
        <color rgb="002E75B6"/>
      </top>
      <bottom style="thin">
        <color rgb="002E75B6"/>
      </bottom>
    </border>
    <border>
      <bottom style="thin">
        <color rgb="00C9D3E3"/>
      </bottom>
    </border>
    <border>
      <left style="thick">
        <color rgb="00FFFFFF"/>
      </left>
      <right style="thick">
        <color rgb="00FFFFFF"/>
      </right>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center"/>
    </xf>
    <xf numFmtId="0" fontId="3" fillId="4" borderId="0" applyAlignment="1" pivotButton="0" quotePrefix="0" xfId="0">
      <alignment vertical="center"/>
    </xf>
    <xf numFmtId="0" fontId="3" fillId="5" borderId="1"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9" fillId="3"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1" fontId="10" fillId="3" borderId="3" applyAlignment="1" pivotButton="0" quotePrefix="0" xfId="0">
      <alignment horizontal="center" vertical="center" shrinkToFit="1"/>
    </xf>
    <xf numFmtId="1" fontId="10" fillId="6" borderId="3" applyAlignment="1" pivotButton="0" quotePrefix="0" xfId="0">
      <alignment horizontal="center" vertical="center" shrinkToFit="1"/>
    </xf>
    <xf numFmtId="1" fontId="10" fillId="7" borderId="3" applyAlignment="1" pivotButton="0" quotePrefix="0" xfId="0">
      <alignment horizontal="center" vertical="center" shrinkToFit="1"/>
    </xf>
    <xf numFmtId="165" fontId="10" fillId="3" borderId="3" applyAlignment="1" pivotButton="0" quotePrefix="0" xfId="0">
      <alignment horizontal="center" vertical="center" shrinkToFit="1"/>
    </xf>
    <xf numFmtId="166" fontId="10" fillId="7" borderId="3" applyAlignment="1" pivotButton="0" quotePrefix="0" xfId="0">
      <alignment horizontal="center" vertical="center" shrinkToFit="1"/>
    </xf>
    <xf numFmtId="0" fontId="1" fillId="3" borderId="0" applyAlignment="1" pivotButton="0" quotePrefix="0" xfId="0">
      <alignment vertical="center"/>
    </xf>
    <xf numFmtId="0" fontId="11" fillId="3" borderId="3" applyAlignment="1" pivotButton="0" quotePrefix="0" xfId="0">
      <alignment horizontal="center" vertical="center" wrapText="1"/>
    </xf>
    <xf numFmtId="0" fontId="11" fillId="6" borderId="3" applyAlignment="1" pivotButton="0" quotePrefix="0" xfId="0">
      <alignment horizontal="center" vertical="center" wrapText="1"/>
    </xf>
    <xf numFmtId="0" fontId="11" fillId="7" borderId="3" applyAlignment="1" pivotButton="0" quotePrefix="0" xfId="0">
      <alignment horizontal="center" vertical="center" wrapText="1"/>
    </xf>
    <xf numFmtId="0" fontId="0" fillId="4" borderId="2" applyAlignment="1" pivotButton="0" quotePrefix="0" xfId="0">
      <alignment vertical="center"/>
    </xf>
    <xf numFmtId="1" fontId="3" fillId="4" borderId="2" applyAlignment="1" pivotButton="0" quotePrefix="0" xfId="0">
      <alignment horizontal="right" vertical="center"/>
    </xf>
    <xf numFmtId="0" fontId="12" fillId="3"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8" fillId="0" borderId="0" pivotButton="0" quotePrefix="0" xfId="0"/>
    <xf numFmtId="0" fontId="6" fillId="0" borderId="0" pivotButton="0" quotePrefix="0" xfId="0"/>
    <xf numFmtId="0" fontId="2" fillId="0" borderId="0" pivotButton="0" quotePrefix="0" xfId="0"/>
    <xf numFmtId="0" fontId="1" fillId="3" borderId="0" pivotButton="0" quotePrefix="0" xfId="0"/>
    <xf numFmtId="0" fontId="3" fillId="0" borderId="0" pivotButton="0" quotePrefix="0" xfId="0"/>
  </cellXfs>
  <cellStyles count="1">
    <cellStyle name="Normal" xfId="0" builtinId="0" hidden="0"/>
  </cellStyles>
  <dxfs count="2">
    <dxf>
      <font>
        <b val="1"/>
        <color rgb="00C00000"/>
      </font>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 Id="rIdSlicerCache1" Type="http://schemas.microsoft.com/office/2007/relationships/slicerCache" Target="slicerCaches/slicerCache1.xml"/><Relationship Id="rIdSlicerCache2" Type="http://schemas.microsoft.com/office/2007/relationships/slicerCache" Target="slicerCaches/slicerCache2.xml"/><Relationship Id="rIdSlicerCache3" Type="http://schemas.microsoft.com/office/2007/relationships/slicerCache" Target="slicerCaches/slicerCache3.xml"/><Relationship Id="rIdSlicerCache4" Type="http://schemas.microsoft.com/office/2007/relationships/slicerCache" Target="slicerCaches/slicerCache4.xml"/></Relationships>
</file>

<file path=xl/charts/chart1.xml><?xml version="1.0" encoding="utf-8"?>
<chartSpace xmlns="http://schemas.openxmlformats.org/drawingml/2006/chart">
  <chart>
    <title>
      <tx>
        <strRef>
          <f>'Dashboard_Summaries'!$O$4</f>
          <strCache>
            <ptCount val="1"/>
            <pt idx="0">
              <v>Closed is the largest status group (48 of 120)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col"/>
        <grouping val="clustered"/>
        <ser>
          <idx val="0"/>
          <order val="0"/>
          <tx>
            <strRef>
              <f>'Dashboard_Summaries'!B3</f>
            </strRef>
          </tx>
          <spPr>
            <a:solidFill xmlns:a="http://schemas.openxmlformats.org/drawingml/2006/main">
              <a:srgbClr val="1F4E79"/>
            </a:solidFill>
            <a:ln xmlns:a="http://schemas.openxmlformats.org/drawingml/2006/main">
              <a:prstDash val="solid"/>
            </a:ln>
          </spPr>
          <cat>
            <numRef>
              <f>'Dashboard_Summaries'!$A$4:$A$9</f>
            </numRef>
          </cat>
          <val>
            <numRef>
              <f>'Dashboard_Summaries'!$B$4:$B$9</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strRef>
          <f>'Dashboard_Summaries'!$O$5</f>
          <strCache>
            <ptCount val="1"/>
            <pt idx="0">
              <v>All five job categories are level at 24 work orders</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clustered"/>
        <ser>
          <idx val="0"/>
          <order val="0"/>
          <tx>
            <strRef>
              <f>'Dashboard_Summaries'!E3</f>
            </strRef>
          </tx>
          <spPr>
            <a:solidFill xmlns:a="http://schemas.openxmlformats.org/drawingml/2006/main">
              <a:srgbClr val="2E75B6"/>
            </a:solidFill>
            <a:ln xmlns:a="http://schemas.openxmlformats.org/drawingml/2006/main">
              <a:prstDash val="solid"/>
            </a:ln>
          </spPr>
          <cat>
            <numRef>
              <f>'Dashboard_Summaries'!$D$4:$D$8</f>
            </numRef>
          </cat>
          <val>
            <numRef>
              <f>'Dashboard_Summaries'!$E$4:$E$8</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strRef>
          <f>'Dashboard_Summaries'!$O$6</f>
          <strCache>
            <ptCount val="1"/>
            <pt idx="0">
              <v>Changi Workshop has the most overdue backlog (18 of 50)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stacked"/>
        <ser>
          <idx val="0"/>
          <order val="0"/>
          <tx>
            <strRef>
              <f>'Dashboard_Summaries'!H3</f>
            </strRef>
          </tx>
          <spPr>
            <a:solidFill xmlns:a="http://schemas.openxmlformats.org/drawingml/2006/main">
              <a:srgbClr val="1F4E79"/>
            </a:solidFill>
            <a:ln xmlns:a="http://schemas.openxmlformats.org/drawingml/2006/main">
              <a:prstDash val="solid"/>
            </a:ln>
          </spPr>
          <cat>
            <numRef>
              <f>'Dashboard_Summaries'!$G$4:$G$8</f>
            </numRef>
          </cat>
          <val>
            <numRef>
              <f>'Dashboard_Summaries'!$H$4:$H$8</f>
            </numRef>
          </val>
        </ser>
        <ser>
          <idx val="1"/>
          <order val="1"/>
          <tx>
            <strRef>
              <f>'Dashboard_Summaries'!I3</f>
            </strRef>
          </tx>
          <spPr>
            <a:solidFill xmlns:a="http://schemas.openxmlformats.org/drawingml/2006/main">
              <a:srgbClr val="2E75B6"/>
            </a:solidFill>
            <a:ln xmlns:a="http://schemas.openxmlformats.org/drawingml/2006/main">
              <a:prstDash val="solid"/>
            </a:ln>
          </spPr>
          <cat>
            <numRef>
              <f>'Dashboard_Summaries'!$G$4:$G$8</f>
            </numRef>
          </cat>
          <val>
            <numRef>
              <f>'Dashboard_Summaries'!$I$4:$I$8</f>
            </numRef>
          </val>
        </ser>
        <ser>
          <idx val="2"/>
          <order val="2"/>
          <tx>
            <strRef>
              <f>'Dashboard_Summaries'!J3</f>
            </strRef>
          </tx>
          <spPr>
            <a:solidFill xmlns:a="http://schemas.openxmlformats.org/drawingml/2006/main">
              <a:srgbClr val="2A9D8F"/>
            </a:solidFill>
            <a:ln xmlns:a="http://schemas.openxmlformats.org/drawingml/2006/main">
              <a:prstDash val="solid"/>
            </a:ln>
          </spPr>
          <cat>
            <numRef>
              <f>'Dashboard_Summaries'!$G$4:$G$8</f>
            </numRef>
          </cat>
          <val>
            <numRef>
              <f>'Dashboard_Summaries'!$J$4:$J$8</f>
            </numRef>
          </val>
        </ser>
        <ser>
          <idx val="3"/>
          <order val="3"/>
          <tx>
            <strRef>
              <f>'Dashboard_Summaries'!K3</f>
            </strRef>
          </tx>
          <spPr>
            <a:solidFill xmlns:a="http://schemas.openxmlformats.org/drawingml/2006/main">
              <a:srgbClr val="A6A6A6"/>
            </a:solidFill>
            <a:ln xmlns:a="http://schemas.openxmlformats.org/drawingml/2006/main">
              <a:prstDash val="solid"/>
            </a:ln>
          </spPr>
          <cat>
            <numRef>
              <f>'Dashboard_Summaries'!$G$4:$G$8</f>
            </numRef>
          </cat>
          <val>
            <numRef>
              <f>'Dashboard_Summaries'!$K$4:$K$8</f>
            </numRef>
          </val>
        </ser>
        <dLbls>
          <numFmt formatCode="0;;;" sourceLinked="0"/>
          <txPr>
            <a:bodyPr xmlns:a="http://schemas.openxmlformats.org/drawingml/2006/main"/>
            <a:p xmlns:a="http://schemas.openxmlformats.org/drawingml/2006/main">
              <a:pPr>
                <a:defRPr sz="900" b="0">
                  <a:solidFill>
                    <a:srgbClr val="FFFFFF"/>
                  </a:solidFill>
                </a:defRPr>
              </a:pPr>
              <a:endParaRPr sz="900" b="0">
                <a:solidFill>
                  <a:srgbClr val="FFFFFF"/>
                </a:solidFill>
              </a:endParaRPr>
            </a:p>
          </txPr>
          <showLegendKey val="0"/>
          <showVal val="1"/>
          <showCatName val="0"/>
          <showSerName val="0"/>
          <showPercent val="0"/>
        </dLbls>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900" b="0">
              <a:solidFill>
                <a:srgbClr val="404040"/>
              </a:solidFill>
            </a:defRPr>
          </a:pPr>
          <a:endParaRPr sz="900" b="0">
            <a:solidFill>
              <a:srgbClr val="404040"/>
            </a:solidFil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a="http://schemas.openxmlformats.org/drawingml/2006/main" xmlns="http://schemas.openxmlformats.org/drawingml/2006/spreadsheetDrawing" xmlns:xdr="http://schemas.openxmlformats.org/drawingml/2006/spreadsheetDrawing">
  <oneCellAnchor>
    <from>
      <col>3</col>
      <colOff>0</colOff>
      <row>8</row>
      <rowOff>0</rowOff>
    </from>
    <ext cx="4942857"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8</row>
      <rowOff>0</rowOff>
    </from>
    <ext cx="4942857"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25</row>
      <rowOff>0</rowOff>
    </from>
    <ext cx="9885714"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xdr:twoCellAnchor editAs="oneCell">
    <xdr:from>
      <xdr:col>10</xdr:col>
      <xdr:colOff>38100</xdr:colOff>
      <xdr:row>3</xdr:row>
      <xdr:rowOff>0</xdr:rowOff>
    </xdr:from>
    <xdr:to>
      <xdr:col>10</xdr:col>
      <xdr:colOff>2038350</xdr:colOff>
      <xdr:row>6</xdr:row>
      <xdr:rowOff>66675</xdr:rowOff>
    </xdr:to>
    <mc:AlternateContent xmlns:mc="http://schemas.openxmlformats.org/markup-compatibility/2006">
      <mc:Choice xmlns:sle15="http://schemas.microsoft.com/office/drawing/2012/slicer" Requires="sle15">
        <xdr:graphicFrame macro="">
          <xdr:nvGraphicFramePr>
            <xdr:cNvPr id="100" name="Site"/>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6</xdr:row>
      <xdr:rowOff>161925</xdr:rowOff>
    </xdr:from>
    <xdr:to>
      <xdr:col>10</xdr:col>
      <xdr:colOff>2038350</xdr:colOff>
      <xdr:row>14</xdr:row>
      <xdr:rowOff>142875</xdr:rowOff>
    </xdr:to>
    <mc:AlternateContent xmlns:mc="http://schemas.openxmlformats.org/markup-compatibility/2006">
      <mc:Choice xmlns:sle15="http://schemas.microsoft.com/office/drawing/2012/slicer" Requires="sle15">
        <xdr:graphicFrame macro="">
          <xdr:nvGraphicFramePr>
            <xdr:cNvPr id="101" name="Job_Category"/>
            <xdr:cNvGraphicFramePr/>
          </xdr:nvGraphicFramePr>
          <xdr:xfrm>
            <a:off x="0" y="0"/>
            <a:ext cx="0" cy="0"/>
          </xdr:xfrm>
          <a:graphic>
            <a:graphicData uri="http://schemas.microsoft.com/office/drawing/2010/slicer">
              <sle:slicer xmlns:sle="http://schemas.microsoft.com/office/drawing/2010/slicer" name="Job_Category"/>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15</xdr:row>
      <xdr:rowOff>47625</xdr:rowOff>
    </xdr:from>
    <xdr:to>
      <xdr:col>10</xdr:col>
      <xdr:colOff>2038350</xdr:colOff>
      <xdr:row>21</xdr:row>
      <xdr:rowOff>28575</xdr:rowOff>
    </xdr:to>
    <mc:AlternateContent xmlns:mc="http://schemas.openxmlformats.org/markup-compatibility/2006">
      <mc:Choice xmlns:sle15="http://schemas.microsoft.com/office/drawing/2012/slicer" Requires="sle15">
        <xdr:graphicFrame macro="">
          <xdr:nvGraphicFramePr>
            <xdr:cNvPr id="10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21</xdr:row>
      <xdr:rowOff>123825</xdr:rowOff>
    </xdr:from>
    <xdr:to>
      <xdr:col>10</xdr:col>
      <xdr:colOff>2038350</xdr:colOff>
      <xdr:row>29</xdr:row>
      <xdr:rowOff>142875</xdr:rowOff>
    </xdr:to>
    <mc:AlternateContent xmlns:mc="http://schemas.openxmlformats.org/markup-compatibility/2006">
      <mc:Choice xmlns:sle15="http://schemas.microsoft.com/office/drawing/2012/slicer" Requires="sle15">
        <xdr:graphicFrame macro="">
          <xdr:nvGraphicFramePr>
            <xdr:cNvPr id="103" name="Assigned_To"/>
            <xdr:cNvGraphicFramePr/>
          </xdr:nvGraphicFramePr>
          <xdr:xfrm>
            <a:off x="0" y="0"/>
            <a:ext cx="0" cy="0"/>
          </xdr:xfrm>
          <a:graphic>
            <a:graphicData uri="http://schemas.microsoft.com/office/drawing/2010/slicer">
              <sle:slicer xmlns:sle="http://schemas.microsoft.com/office/drawing/2010/slicer" name="Assigned_To"/>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te" sourceName="Si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Category" sourceName="Job_Catego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ssigned_To" sourceName="Assigned_T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te" cache="Slicer_Site" caption="Site" columnCount="1" style="SlicerStyleLight1" rowHeight="225425"/>
  <slicer name="Job_Category" cache="Slicer_Job_Category" caption="Job Category" columnCount="1" style="SlicerStyleLight1" rowHeight="225425"/>
  <slicer name="Status" cache="Slicer_Status" caption="Status" columnCount="2" style="SlicerStyleLight1" rowHeight="225425"/>
  <slicer name="Assigned_To" cache="Slicer_Assigned_To" caption="Assigned To" columnCount="2" style="SlicerStyleLight1" rowHeight="225425"/>
</slicer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drawing" Target="/xl/drawings/drawing1.xml" Id="rId1"/><Relationship Id="rIdSlicer1" Type="http://schemas.microsoft.com/office/2007/relationships/slicer" Target="../slicers/slicer1.xml"/></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Use</t>
        </is>
      </c>
      <c r="B6" s="2" t="inlineStr">
        <is>
          <t>Work on a copy saved to your OneDrive folder; keep this supplied workbook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n"/>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n"/>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n"/>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n"/>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n"/>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n"/>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showGridLines="0" zoomScale="85" workbookViewId="0">
      <selection activeCell="A1" sqref="A1"/>
    </sheetView>
  </sheetViews>
  <sheetFormatPr baseColWidth="8" defaultRowHeight="15"/>
  <cols>
    <col width="19" customWidth="1" min="1" max="1"/>
    <col width="17" customWidth="1" min="2" max="2"/>
    <col width="2" customWidth="1" min="3" max="3"/>
    <col width="24" customWidth="1" min="4" max="4"/>
    <col width="24" customWidth="1" min="5" max="5"/>
    <col width="24" customWidth="1" min="6" max="6"/>
    <col width="24" customWidth="1" min="7" max="7"/>
    <col width="24" customWidth="1" min="8" max="8"/>
    <col width="24" customWidth="1" min="9" max="9"/>
    <col width="2" customWidth="1" min="10" max="10"/>
    <col width="31" customWidth="1" min="11" max="11"/>
  </cols>
  <sheetData>
    <row r="1" ht="34" customHeight="1">
      <c r="A1" s="9">
        <f>"Northstar Maintenance Dashboard — Q3 work orders to "&amp;TEXT(Control!$B$2,"dd-mmm-yyyy")</f>
        <v/>
      </c>
    </row>
    <row r="2" ht="20" customHeight="1">
      <c r="A2" s="10" t="inlineStr">
        <is>
          <t>Site</t>
        </is>
      </c>
      <c r="B2" s="11" t="inlineStr">
        <is>
          <t>All</t>
        </is>
      </c>
      <c r="D2" s="12">
        <f>"Data as at "&amp;TEXT(Control!$B$2,"yyyy-mm-dd")&amp;"   ·   Site: "&amp;$B$2&amp;"  ·  Category: "&amp;$B$3&amp;"  ·  Status: "&amp;$B$4&amp;"  ·  Owner: "&amp;$B$5</f>
        <v/>
      </c>
    </row>
    <row r="3" ht="18" customHeight="1">
      <c r="A3" s="10" t="inlineStr">
        <is>
          <t>Job_Category</t>
        </is>
      </c>
      <c r="B3" s="11" t="inlineStr">
        <is>
          <t>All</t>
        </is>
      </c>
      <c r="D3" s="13">
        <f>IF(SUBTOTAL(103,tblWorkOrders[Work_Order_ID])&lt;ROWS(tblWorkOrders[Work_Order_ID]),"⚠ Slicer filter active: "&amp;SUBTOTAL(103,tblWorkOrders[Work_Order_ID])&amp;" of "&amp;ROWS(tblWorkOrders[Work_Order_ID])&amp;" source rows included. Clear the slicers for the full baseline.","All "&amp;ROWS(tblWorkOrders[Work_Order_ID])&amp;" source rows available (no slicer filter).")</f>
        <v/>
      </c>
    </row>
    <row r="4" ht="26" customHeight="1">
      <c r="A4" s="10" t="inlineStr">
        <is>
          <t>Status</t>
        </is>
      </c>
      <c r="B4" s="11" t="inlineStr">
        <is>
          <t>All</t>
        </is>
      </c>
      <c r="D4" s="14" t="inlineStr">
        <is>
          <t>Total work orders</t>
        </is>
      </c>
      <c r="E4" s="15" t="inlineStr">
        <is>
          <t>Backlog</t>
        </is>
      </c>
      <c r="F4" s="15" t="inlineStr">
        <is>
          <t>Overdue backlog</t>
        </is>
      </c>
      <c r="G4" s="16" t="inlineStr">
        <is>
          <t>Closed</t>
        </is>
      </c>
      <c r="H4" s="14" t="inlineStr">
        <is>
          <t>On-time closure rate</t>
        </is>
      </c>
      <c r="I4" s="16" t="inlineStr">
        <is>
          <t>Recorded cost</t>
        </is>
      </c>
    </row>
    <row r="5" ht="50" customHeight="1">
      <c r="A5" s="10" t="inlineStr">
        <is>
          <t>Assigned_To</t>
        </is>
      </c>
      <c r="B5" s="11" t="inlineStr">
        <is>
          <t>All</t>
        </is>
      </c>
      <c r="D5" s="17">
        <f>B7</f>
        <v/>
      </c>
      <c r="E5" s="18">
        <f>B8</f>
        <v/>
      </c>
      <c r="F5" s="18">
        <f>B9</f>
        <v/>
      </c>
      <c r="G5" s="19">
        <f>B10</f>
        <v/>
      </c>
      <c r="H5" s="20">
        <f>B11</f>
        <v/>
      </c>
      <c r="I5" s="21">
        <f>B12</f>
        <v/>
      </c>
    </row>
    <row r="6" ht="38" customHeight="1">
      <c r="A6" s="22" t="inlineStr">
        <is>
          <t>Measure</t>
        </is>
      </c>
      <c r="B6" s="22" t="inlineStr">
        <is>
          <t>Current selection</t>
        </is>
      </c>
      <c r="D6" s="23">
        <f>"Selected of "&amp;ROWS(tblWorkOrders[Work_Order_ID])&amp;" rows in tblWorkOrders"</f>
        <v/>
      </c>
      <c r="E6" s="24">
        <f>IF(B7=0,"No rows selected",TEXT(B8/B7,"0%")&amp;" of selection; "&amp;Dashboard_Summaries!O7&amp;" unassigned")</f>
        <v/>
      </c>
      <c r="F6" s="24">
        <f>"Backlog due before "&amp;TEXT(Control!$B$2,"dd-mmm-yyyy")</f>
        <v/>
      </c>
      <c r="G6" s="25">
        <f>"Cancelled in selection: "&amp;Dashboard_Summaries!B9</f>
        <v/>
      </c>
      <c r="H6" s="23">
        <f>IF(B10=0,"No closed jobs in selection",Dashboard_Summaries!O8&amp;" of "&amp;B10&amp;" closed by due date")</f>
        <v/>
      </c>
      <c r="I6" s="25">
        <f>"Cost_SGD, all statuses; not a budget"</f>
        <v/>
      </c>
    </row>
    <row r="7" ht="22" customHeight="1">
      <c r="A7" s="26" t="inlineStr">
        <is>
          <t>Total work orders</t>
        </is>
      </c>
      <c r="B7"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f>
        <v/>
      </c>
      <c r="D7" s="28">
        <f>"Checks: "&amp;Dashboard_Summaries!O11</f>
        <v/>
      </c>
      <c r="E7" s="29">
        <f>"Checks: "&amp;Dashboard_Summaries!O12</f>
        <v/>
      </c>
      <c r="F7" s="29">
        <f>"Checks: "&amp;Dashboard_Summaries!O13</f>
        <v/>
      </c>
      <c r="G7" s="30">
        <f>"Checks: "&amp;Dashboard_Summaries!O14</f>
        <v/>
      </c>
      <c r="H7" s="28">
        <f>"Checks: "&amp;Dashboard_Summaries!O15</f>
        <v/>
      </c>
      <c r="I7" s="30">
        <f>"Checks: "&amp;Dashboard_Summaries!O16</f>
        <v/>
      </c>
    </row>
    <row r="8" ht="10" customHeight="1">
      <c r="A8" s="26" t="inlineStr">
        <is>
          <t>Backlog</t>
        </is>
      </c>
      <c r="B8"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f>
        <v/>
      </c>
    </row>
    <row r="9">
      <c r="A9" s="26" t="inlineStr">
        <is>
          <t>Overdue backlog</t>
        </is>
      </c>
      <c r="B9"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tblWorkOrders[Due_Date]&lt;Control!$B$2))</f>
        <v/>
      </c>
    </row>
    <row r="10">
      <c r="A10" s="26" t="inlineStr">
        <is>
          <t>Closed</t>
        </is>
      </c>
      <c r="B10"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Closed"))</f>
        <v/>
      </c>
    </row>
    <row r="11">
      <c r="A11" s="26" t="inlineStr">
        <is>
          <t>On-time closure rate</t>
        </is>
      </c>
      <c r="B11" s="31">
        <f>IF(B10=0,"N/A",Dashboard_Summaries!O8/B10)</f>
        <v/>
      </c>
    </row>
    <row r="12">
      <c r="A12" s="26" t="inlineStr">
        <is>
          <t>Recorded cost (S$)</t>
        </is>
      </c>
      <c r="B12" s="32">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Cost_SGD])</f>
        <v/>
      </c>
    </row>
    <row r="13">
      <c r="A13" s="33" t="inlineStr">
        <is>
          <t>Rows after slicers</t>
        </is>
      </c>
      <c r="B13" s="34">
        <f>SUBTOTAL(103,tblWorkOrders[Work_Order_ID])</f>
        <v/>
      </c>
    </row>
    <row r="15">
      <c r="A15" s="35" t="inlineStr">
        <is>
          <t>How to filter</t>
        </is>
      </c>
    </row>
    <row r="16">
      <c r="A16" s="36" t="inlineStr">
        <is>
          <t>• Dropdowns B2:B5 or the slicers</t>
        </is>
      </c>
    </row>
    <row r="17">
      <c r="A17" s="36" t="inlineStr">
        <is>
          <t xml:space="preserve">  both filter every tile and chart.</t>
        </is>
      </c>
    </row>
    <row r="18">
      <c r="A18" s="36" t="inlineStr">
        <is>
          <t>• Unassigned = blank Assigned_To.</t>
        </is>
      </c>
    </row>
    <row r="19">
      <c r="A19" s="36" t="inlineStr">
        <is>
          <t>• Baseline: all All, slicers cleared.</t>
        </is>
      </c>
    </row>
    <row r="20">
      <c r="A20" s="36" t="inlineStr">
        <is>
          <t>• Summaries + checks:</t>
        </is>
      </c>
    </row>
    <row r="21">
      <c r="A21" s="36" t="inlineStr">
        <is>
          <t xml:space="preserve">  Dashboard_Summaries sheet.</t>
        </is>
      </c>
    </row>
  </sheetData>
  <conditionalFormatting sqref="D3">
    <cfRule type="expression" priority="1" dxfId="0">
      <formula>LEFT($D$3,1)="⚠"</formula>
    </cfRule>
  </conditionalFormatting>
  <dataValidations count="4">
    <dataValidation sqref="B2" showDropDown="0" showInputMessage="0" showErrorMessage="1" allowBlank="0" errorTitle="Choose from the list" error="Pick All or a value from the dropdown." type="list">
      <formula1>'Filter_Lists'!$A$1:$A$6</formula1>
    </dataValidation>
    <dataValidation sqref="B3" showDropDown="0" showInputMessage="0" showErrorMessage="1" allowBlank="0" errorTitle="Choose from the list" error="Pick All or a value from the dropdown." type="list">
      <formula1>'Filter_Lists'!$B$1:$B$6</formula1>
    </dataValidation>
    <dataValidation sqref="B4" showDropDown="0" showInputMessage="0" showErrorMessage="1" allowBlank="0" errorTitle="Choose from the list" error="Pick All or a value from the dropdown." type="list">
      <formula1>'Filter_Lists'!$C$1:$C$7</formula1>
    </dataValidation>
    <dataValidation sqref="B5" showDropDown="0" showInputMessage="0" showErrorMessage="1" allowBlank="0" errorTitle="Choose from the list" error="Pick All or a value from the dropdown." type="list">
      <formula1>'Filter_Lists'!$D$1:$D$10</formula1>
    </dataValidation>
  </dataValidations>
  <pageMargins left="0.75" right="0.75" top="1" bottom="1" header="0.5" footer="0.5"/>
  <drawing xmlns:r="http://schemas.openxmlformats.org/officeDocument/2006/relationships" r:id="rId1"/>
  <extLst>
    <ext xmlns:x15="http://schemas.microsoft.com/office/spreadsheetml/2010/11/main" uri="{3A4CF648-6AED-40f4-86FF-DC5316D8AED3}">
      <x14:slicerList xmlns:x14="http://schemas.microsoft.com/office/spreadsheetml/2009/9/main">
        <x14:slicer xmlns:r="http://schemas.openxmlformats.org/officeDocument/2006/relationships" r:id="rIdSlicer1"/>
      </x14:slicerList>
    </ext>
  </extLst>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6" customWidth="1" min="1" max="1"/>
    <col width="12" customWidth="1" min="2" max="2"/>
    <col width="3" customWidth="1" min="3" max="3"/>
    <col width="18" customWidth="1" min="4" max="4"/>
    <col width="12" customWidth="1" min="5" max="5"/>
    <col width="3" customWidth="1" min="6" max="6"/>
    <col width="18" customWidth="1" min="7" max="7"/>
    <col width="15" customWidth="1" min="8" max="8"/>
    <col width="13" customWidth="1" min="9" max="9"/>
    <col width="10" customWidth="1" min="10" max="10"/>
    <col width="11" customWidth="1" min="11" max="11"/>
    <col width="9" customWidth="1" min="12" max="12"/>
    <col width="3" customWidth="1" min="13" max="13"/>
    <col width="30" customWidth="1" min="14" max="14"/>
    <col width="70" customWidth="1" min="15" max="15"/>
  </cols>
  <sheetData>
    <row r="1">
      <c r="A1" s="37" t="inlineStr">
        <is>
          <t>Dashboard chart summaries, titles and checks (formula-backed; same selection as Dashboard)</t>
        </is>
      </c>
    </row>
    <row r="3">
      <c r="A3" s="38" t="inlineStr">
        <is>
          <t>Status</t>
        </is>
      </c>
      <c r="B3" s="38" t="inlineStr">
        <is>
          <t>Work orders</t>
        </is>
      </c>
      <c r="D3" s="38" t="inlineStr">
        <is>
          <t>Job category</t>
        </is>
      </c>
      <c r="E3" s="38" t="inlineStr">
        <is>
          <t>Work orders</t>
        </is>
      </c>
      <c r="G3" s="38" t="inlineStr">
        <is>
          <t>Site</t>
        </is>
      </c>
      <c r="H3" s="38" t="inlineStr">
        <is>
          <t>Overdue backlog</t>
        </is>
      </c>
      <c r="I3" s="38" t="inlineStr">
        <is>
          <t>Other backlog</t>
        </is>
      </c>
      <c r="J3" s="38" t="inlineStr">
        <is>
          <t>Closed</t>
        </is>
      </c>
      <c r="K3" s="38" t="inlineStr">
        <is>
          <t>Cancelled</t>
        </is>
      </c>
      <c r="L3" s="38" t="inlineStr">
        <is>
          <t>Total</t>
        </is>
      </c>
      <c r="N3" s="38" t="inlineStr">
        <is>
          <t>Item</t>
        </is>
      </c>
      <c r="O3" s="38" t="inlineStr">
        <is>
          <t>Value</t>
        </is>
      </c>
    </row>
    <row r="4">
      <c r="A4" t="inlineStr">
        <is>
          <t>New</t>
        </is>
      </c>
      <c r="B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4))</f>
        <v/>
      </c>
      <c r="D4" t="inlineStr">
        <is>
          <t>Leak Repair</t>
        </is>
      </c>
      <c r="E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4))</f>
        <v/>
      </c>
      <c r="G4" t="inlineStr">
        <is>
          <t>Woodlands Hub</t>
        </is>
      </c>
      <c r="H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4))</f>
        <v/>
      </c>
      <c r="I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4))-H4</f>
        <v/>
      </c>
      <c r="J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4))</f>
        <v/>
      </c>
      <c r="K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4))</f>
        <v/>
      </c>
      <c r="L4">
        <f>SUM(H4:K4)</f>
        <v/>
      </c>
      <c r="N4" t="inlineStr">
        <is>
          <t>Status chart title</t>
        </is>
      </c>
      <c r="O4">
        <f>IF(Dashboard!$B$7=0,"No work orders in the current selection",IF(COUNTIF(B4:B9,MAX(B4:B9))&gt;1,COUNTIF(B4:B9,MAX(B4:B9))&amp;" statuses tie for most work orders ("&amp;MAX(B4:B9)&amp;" each)",INDEX(A4:A9,MATCH(MAX(B4:B9),B4:B9,0))&amp;" is the largest status group ("&amp;MAX(B4:B9)&amp;" of "&amp;Dashboard!$B$7&amp;")"))</f>
        <v/>
      </c>
    </row>
    <row r="5">
      <c r="A5" t="inlineStr">
        <is>
          <t>Assigned</t>
        </is>
      </c>
      <c r="B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5))</f>
        <v/>
      </c>
      <c r="D5" t="inlineStr">
        <is>
          <t>Valve Repair</t>
        </is>
      </c>
      <c r="E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5))</f>
        <v/>
      </c>
      <c r="G5" t="inlineStr">
        <is>
          <t>Jurong Depot</t>
        </is>
      </c>
      <c r="H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5))</f>
        <v/>
      </c>
      <c r="I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5))-H5</f>
        <v/>
      </c>
      <c r="J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5))</f>
        <v/>
      </c>
      <c r="K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5))</f>
        <v/>
      </c>
      <c r="L5">
        <f>SUM(H5:K5)</f>
        <v/>
      </c>
      <c r="N5" t="inlineStr">
        <is>
          <t>Category chart title</t>
        </is>
      </c>
      <c r="O5">
        <f>IF(Dashboard!$B$7=0,"No work orders in the current selection",IF(MAX(E4:E8)=MIN(E4:E8),"All five job categories are level at "&amp;MAX(E4:E8)&amp;" work orders",IF(COUNTIF(E4:E8,MAX(E4:E8))&gt;1,COUNTIF(E4:E8,MAX(E4:E8))&amp;" categories tie for most work orders ("&amp;MAX(E4:E8)&amp;" each)",INDEX(D4:D8,MATCH(MAX(E4:E8),E4:E8,0))&amp;" has the most work orders ("&amp;MAX(E4:E8)&amp;")")))</f>
        <v/>
      </c>
    </row>
    <row r="6">
      <c r="A6" t="inlineStr">
        <is>
          <t>In Progress</t>
        </is>
      </c>
      <c r="B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6))</f>
        <v/>
      </c>
      <c r="D6" t="inlineStr">
        <is>
          <t>Pipe Replacement</t>
        </is>
      </c>
      <c r="E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6))</f>
        <v/>
      </c>
      <c r="G6" t="inlineStr">
        <is>
          <t>Tampines Centre</t>
        </is>
      </c>
      <c r="H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6))</f>
        <v/>
      </c>
      <c r="I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6))-H6</f>
        <v/>
      </c>
      <c r="J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6))</f>
        <v/>
      </c>
      <c r="K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6))</f>
        <v/>
      </c>
      <c r="L6">
        <f>SUM(H6:K6)</f>
        <v/>
      </c>
      <c r="N6" t="inlineStr">
        <is>
          <t>Site chart title</t>
        </is>
      </c>
      <c r="O6">
        <f>IF(H9=0,"No overdue backlog in the current selection",IF(COUNTIF(H4:H8,MAX(H4:H8))&gt;1,COUNTIF(H4:H8,MAX(H4:H8))&amp;" sites tie for most overdue backlog ("&amp;MAX(H4:H8)&amp;" each)",INDEX(G4:G8,MATCH(MAX(H4:H8),H4:H8,0))&amp;" has the most overdue backlog ("&amp;MAX(H4:H8)&amp;" of "&amp;H9&amp;")"))</f>
        <v/>
      </c>
    </row>
    <row r="7">
      <c r="A7" t="inlineStr">
        <is>
          <t>On Hold</t>
        </is>
      </c>
      <c r="B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7))</f>
        <v/>
      </c>
      <c r="D7" t="inlineStr">
        <is>
          <t>Pump Service</t>
        </is>
      </c>
      <c r="E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7))</f>
        <v/>
      </c>
      <c r="G7" t="inlineStr">
        <is>
          <t>Paya Lebar Office</t>
        </is>
      </c>
      <c r="H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7))</f>
        <v/>
      </c>
      <c r="I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7))-H7</f>
        <v/>
      </c>
      <c r="J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7))</f>
        <v/>
      </c>
      <c r="K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7))</f>
        <v/>
      </c>
      <c r="L7">
        <f>SUM(H7:K7)</f>
        <v/>
      </c>
      <c r="N7" t="inlineStr">
        <is>
          <t>Unassigned backlog</t>
        </is>
      </c>
      <c r="O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Assigned_To]=""))</f>
        <v/>
      </c>
    </row>
    <row r="8">
      <c r="A8" t="inlineStr">
        <is>
          <t>Closed</t>
        </is>
      </c>
      <c r="B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8))</f>
        <v/>
      </c>
      <c r="D8" t="inlineStr">
        <is>
          <t>Meter Service</t>
        </is>
      </c>
      <c r="E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8))</f>
        <v/>
      </c>
      <c r="G8" t="inlineStr">
        <is>
          <t>Changi Workshop</t>
        </is>
      </c>
      <c r="H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8))</f>
        <v/>
      </c>
      <c r="I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8))-H8</f>
        <v/>
      </c>
      <c r="J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8))</f>
        <v/>
      </c>
      <c r="K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8))</f>
        <v/>
      </c>
      <c r="L8">
        <f>SUM(H8:K8)</f>
        <v/>
      </c>
      <c r="N8" t="inlineStr">
        <is>
          <t>Closed on or before due date</t>
        </is>
      </c>
      <c r="O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Closed_Date]&lt;=tblWorkOrders[Due_Date]))</f>
        <v/>
      </c>
    </row>
    <row r="9">
      <c r="A9" t="inlineStr">
        <is>
          <t>Cancelled</t>
        </is>
      </c>
      <c r="B9">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9))</f>
        <v/>
      </c>
      <c r="D9" s="39" t="inlineStr">
        <is>
          <t>Total</t>
        </is>
      </c>
      <c r="E9" s="39">
        <f>SUM(E4:E8)</f>
        <v/>
      </c>
      <c r="G9" s="39" t="inlineStr">
        <is>
          <t>Total</t>
        </is>
      </c>
      <c r="H9" s="39">
        <f>SUM(H4:H8)</f>
        <v/>
      </c>
      <c r="I9" s="39">
        <f>SUM(I4:I8)</f>
        <v/>
      </c>
      <c r="J9" s="39">
        <f>SUM(J4:J8)</f>
        <v/>
      </c>
      <c r="K9" s="39">
        <f>SUM(K4:K8)</f>
        <v/>
      </c>
      <c r="L9" s="39">
        <f>SUM(L4:L8)</f>
        <v/>
      </c>
      <c r="N9" t="inlineStr">
        <is>
          <t>Baseline view (All, no slicer)</t>
        </is>
      </c>
      <c r="O9">
        <f>AND(Dashboard!$B$2="All",Dashboard!$B$3="All",Dashboard!$B$4="All",Dashboard!$B$5="All",SUBTOTAL(103,tblWorkOrders[Work_Order_ID])=ROWS(tblWorkOrders[Work_Order_ID]))</f>
        <v/>
      </c>
    </row>
    <row r="10">
      <c r="A10" s="39" t="inlineStr">
        <is>
          <t>Total</t>
        </is>
      </c>
      <c r="B10" s="39">
        <f>SUM(B4:B9)</f>
        <v/>
      </c>
      <c r="N10" t="inlineStr">
        <is>
          <t>Charts reconcile to B7</t>
        </is>
      </c>
      <c r="O10">
        <f>AND(B10=Dashboard!$B$7,E9=Dashboard!$B$7,L9=Dashboard!$B$7)</f>
        <v/>
      </c>
    </row>
    <row r="11">
      <c r="N11" t="inlineStr">
        <is>
          <t>Check: total work orders</t>
        </is>
      </c>
      <c r="O11">
        <f>IF(AND(O10,OR(NOT(O9),Dashboard!$B$7=Control!$B$3)),"PASS","REVIEW")</f>
        <v/>
      </c>
    </row>
    <row r="12">
      <c r="N12" t="inlineStr">
        <is>
          <t>Check: backlog</t>
        </is>
      </c>
      <c r="O12">
        <f>IF(AND(Dashboard!$B$7=Dashboard!$B$8+Dashboard!$B$10+B9,OR(NOT(O9),Dashboard!$B$8=Control!$B$6)),"PASS","REVIEW")</f>
        <v/>
      </c>
    </row>
    <row r="13">
      <c r="N13" t="inlineStr">
        <is>
          <t>Check: overdue backlog</t>
        </is>
      </c>
      <c r="O13">
        <f>IF(AND(Dashboard!$B$9&lt;=Dashboard!$B$8,H9=Dashboard!$B$9,OR(NOT(O9),Dashboard!$B$9=Control!$B$7)),"PASS","REVIEW")</f>
        <v/>
      </c>
    </row>
    <row r="14">
      <c r="N14" t="inlineStr">
        <is>
          <t>Check: closed</t>
        </is>
      </c>
      <c r="O14">
        <f>IF(AND(Dashboard!$B$10=B8,OR(NOT(O9),Dashboard!$B$10=Control!$B$4)),"PASS","REVIEW")</f>
        <v/>
      </c>
    </row>
    <row r="15">
      <c r="N15" t="inlineStr">
        <is>
          <t>Check: on-time rate</t>
        </is>
      </c>
      <c r="O15">
        <f>IF(Dashboard!$B$10=0,IF(Dashboard!$B$11="N/A","PASS","REVIEW"),IF(AND(ROUND(O8/Dashboard!$B$10-Dashboard!$B$11,6)=0,OR(NOT(O9),ROUND(Dashboard!$B$11-Control!$B$10,6)=0)),"PASS","REVIEW"))</f>
        <v/>
      </c>
    </row>
    <row r="16">
      <c r="N16" t="inlineStr">
        <is>
          <t>Check: recorded cost</t>
        </is>
      </c>
      <c r="O16">
        <f>IF(AND(ROUND(Dashboard!$B$12-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Cost_SGD]),2)=0,OR(NOT(O9),ROUND(Dashboard!$B$12-Control!$B$11,2)=0)),"PASS","REVIEW")</f>
        <v/>
      </c>
    </row>
  </sheetData>
  <conditionalFormatting sqref="B10">
    <cfRule type="expression" priority="1" dxfId="1">
      <formula>B10&lt;&gt;Dashboard!$B$7</formula>
    </cfRule>
  </conditionalFormatting>
  <conditionalFormatting sqref="E9">
    <cfRule type="expression" priority="2" dxfId="1">
      <formula>E9&lt;&gt;Dashboard!$B$7</formula>
    </cfRule>
  </conditionalFormatting>
  <conditionalFormatting sqref="L9">
    <cfRule type="expression" priority="3" dxfId="1">
      <formula>L9&lt;&gt;Dashboard!$B$7</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c r="D10"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2026-10-18T08:53:14Z</dcterms:created>
  <dcterms:modified xmlns:dcterms="http://purl.org/dc/terms/" xmlns:xsi="http://www.w3.org/2001/XMLSchema-instance" xsi:type="dcterms:W3CDTF">2026-10-18T08:53:14Z</dcterms:modified>
</cp:coreProperties>
</file>