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s/slicer1.xml" ContentType="application/vnd.ms-excel.slicer+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Work_Orders" sheetId="2" state="visible" r:id="rId2"/>
    <sheet xmlns:r="http://schemas.openxmlformats.org/officeDocument/2006/relationships" name="Technician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 xmlns:r="http://schemas.openxmlformats.org/officeDocument/2006/relationships" name="Evidence_Log" sheetId="7" state="visible" r:id="rId7"/>
    <sheet xmlns:r="http://schemas.openxmlformats.org/officeDocument/2006/relationships" name=".Rules" sheetId="8" state="visible" r:id="rId8"/>
    <sheet xmlns:r="http://schemas.openxmlformats.org/officeDocument/2006/relationships" name="Dashboard" sheetId="9" state="visible" r:id="rId9"/>
    <sheet xmlns:r="http://schemas.openxmlformats.org/officeDocument/2006/relationships" name="Dashboard_Summaries" sheetId="10" state="visible" r:id="rId10"/>
    <sheet xmlns:r="http://schemas.openxmlformats.org/officeDocument/2006/relationships" name="Filter_Lists" sheetId="11" state="hidden" r:id="rId11"/>
  </sheets>
  <definedNames>
    <definedName name="Slicer_Site">#N/A</definedName>
    <definedName name="Slicer_Job_Category">#N/A</definedName>
    <definedName name="Slicer_Status">#N/A</definedName>
    <definedName name="Slicer_Assigned_To">#N/A</definedName>
  </definedNames>
  <calcPr calcId="124519" fullCalcOnLoad="1"/>
  <extLst>
    <ext xmlns:x15="http://schemas.microsoft.com/office/spreadsheetml/2010/11/main" uri="{46BE6895-7355-4a93-B00E-2C351335B9C9}">
      <x15:slicerCaches xmlns:x14="http://schemas.microsoft.com/office/spreadsheetml/2009/9/main">
        <x14:slicerCache xmlns:r="http://schemas.openxmlformats.org/officeDocument/2006/relationships" r:id="rIdSlicerCache1"/>
        <x14:slicerCache xmlns:r="http://schemas.openxmlformats.org/officeDocument/2006/relationships" r:id="rIdSlicerCache2"/>
        <x14:slicerCache xmlns:r="http://schemas.openxmlformats.org/officeDocument/2006/relationships" r:id="rIdSlicerCache3"/>
        <x14:slicerCache xmlns:r="http://schemas.openxmlformats.org/officeDocument/2006/relationships" r:id="rIdSlicerCache4"/>
      </x15:slicerCaches>
    </ext>
  </extLst>
</workbook>
</file>

<file path=xl/styles.xml><?xml version="1.0" encoding="utf-8"?>
<styleSheet xmlns="http://schemas.openxmlformats.org/spreadsheetml/2006/main">
  <numFmts count="3">
    <numFmt numFmtId="164" formatCode="yyyy-mm-dd"/>
    <numFmt numFmtId="165" formatCode="0.0%"/>
    <numFmt numFmtId="166" formatCode="&quot;S$&quot;#,##0.00"/>
  </numFmts>
  <fonts count="13">
    <font>
      <name val="Calibri"/>
      <family val="2"/>
      <color theme="1"/>
      <sz val="11"/>
      <scheme val="minor"/>
    </font>
    <font>
      <b val="1"/>
      <color rgb="00FFFFFF"/>
    </font>
    <font>
      <b val="1"/>
      <color rgb="001F4E79"/>
      <sz val="13"/>
    </font>
    <font>
      <b val="1"/>
      <color rgb="001F4E79"/>
    </font>
    <font>
      <b val="1"/>
      <color rgb="001F4E79"/>
      <sz val="20"/>
    </font>
    <font>
      <i val="1"/>
      <color rgb="00404040"/>
      <sz val="11"/>
    </font>
    <font>
      <color rgb="00595959"/>
      <sz val="9"/>
    </font>
    <font>
      <i val="1"/>
      <color rgb="00595959"/>
    </font>
    <font>
      <b val="1"/>
      <color rgb="001F4E79"/>
      <sz val="9"/>
    </font>
    <font>
      <b val="1"/>
      <color rgb="00FFFFFF"/>
      <sz val="12"/>
    </font>
    <font>
      <b val="1"/>
      <color rgb="00FFFFFF"/>
      <sz val="28"/>
    </font>
    <font>
      <color rgb="00FFFFFF"/>
      <sz val="9"/>
    </font>
    <font>
      <b val="1"/>
      <color rgb="00FFFFFF"/>
      <sz val="9"/>
    </font>
  </fonts>
  <fills count="8">
    <fill>
      <patternFill/>
    </fill>
    <fill>
      <patternFill patternType="gray125"/>
    </fill>
    <fill>
      <patternFill patternType="solid">
        <fgColor rgb="001F6FEB"/>
      </patternFill>
    </fill>
    <fill>
      <patternFill patternType="solid">
        <fgColor rgb="001F4E79"/>
      </patternFill>
    </fill>
    <fill>
      <patternFill patternType="solid">
        <fgColor rgb="00F3F6FA"/>
      </patternFill>
    </fill>
    <fill>
      <patternFill patternType="solid">
        <fgColor rgb="00DDEBF7"/>
      </patternFill>
    </fill>
    <fill>
      <patternFill patternType="solid">
        <fgColor rgb="002E75B6"/>
      </patternFill>
    </fill>
    <fill>
      <patternFill patternType="solid">
        <fgColor rgb="002A9D8F"/>
      </patternFill>
    </fill>
  </fills>
  <borders count="4">
    <border>
      <left/>
      <right/>
      <top/>
      <bottom/>
      <diagonal/>
    </border>
    <border>
      <left style="thin">
        <color rgb="002E75B6"/>
      </left>
      <right style="thin">
        <color rgb="002E75B6"/>
      </right>
      <top style="thin">
        <color rgb="002E75B6"/>
      </top>
      <bottom style="thin">
        <color rgb="002E75B6"/>
      </bottom>
    </border>
    <border>
      <bottom style="thin">
        <color rgb="00C9D3E3"/>
      </bottom>
    </border>
    <border>
      <left style="thick">
        <color rgb="00FFFFFF"/>
      </left>
      <right style="thick">
        <color rgb="00FFFFFF"/>
      </right>
    </border>
  </borders>
  <cellStyleXfs count="1">
    <xf numFmtId="0" fontId="0" fillId="0" borderId="0"/>
  </cellStyleXfs>
  <cellXfs count="40">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4" fillId="0" borderId="0" applyAlignment="1" pivotButton="0" quotePrefix="0" xfId="0">
      <alignment vertical="center"/>
    </xf>
    <xf numFmtId="0" fontId="3" fillId="4" borderId="0" applyAlignment="1" pivotButton="0" quotePrefix="0" xfId="0">
      <alignment vertical="center"/>
    </xf>
    <xf numFmtId="0" fontId="3" fillId="5" borderId="1" applyAlignment="1" pivotButton="0" quotePrefix="0" xfId="0">
      <alignment vertical="center"/>
    </xf>
    <xf numFmtId="0" fontId="5" fillId="0" borderId="0" applyAlignment="1" pivotButton="0" quotePrefix="0" xfId="0">
      <alignment vertical="center"/>
    </xf>
    <xf numFmtId="0" fontId="6" fillId="0" borderId="0" applyAlignment="1" pivotButton="0" quotePrefix="0" xfId="0">
      <alignment vertical="center"/>
    </xf>
    <xf numFmtId="0" fontId="9" fillId="3" borderId="3" applyAlignment="1" pivotButton="0" quotePrefix="0" xfId="0">
      <alignment horizontal="center" vertical="center"/>
    </xf>
    <xf numFmtId="0" fontId="9" fillId="6" borderId="3" applyAlignment="1" pivotButton="0" quotePrefix="0" xfId="0">
      <alignment horizontal="center" vertical="center"/>
    </xf>
    <xf numFmtId="0" fontId="9" fillId="7" borderId="3" applyAlignment="1" pivotButton="0" quotePrefix="0" xfId="0">
      <alignment horizontal="center" vertical="center"/>
    </xf>
    <xf numFmtId="1" fontId="10" fillId="3" borderId="3" applyAlignment="1" pivotButton="0" quotePrefix="0" xfId="0">
      <alignment horizontal="center" vertical="center" shrinkToFit="1"/>
    </xf>
    <xf numFmtId="1" fontId="10" fillId="6" borderId="3" applyAlignment="1" pivotButton="0" quotePrefix="0" xfId="0">
      <alignment horizontal="center" vertical="center" shrinkToFit="1"/>
    </xf>
    <xf numFmtId="1" fontId="10" fillId="7" borderId="3" applyAlignment="1" pivotButton="0" quotePrefix="0" xfId="0">
      <alignment horizontal="center" vertical="center" shrinkToFit="1"/>
    </xf>
    <xf numFmtId="165" fontId="10" fillId="3" borderId="3" applyAlignment="1" pivotButton="0" quotePrefix="0" xfId="0">
      <alignment horizontal="center" vertical="center" shrinkToFit="1"/>
    </xf>
    <xf numFmtId="166" fontId="10" fillId="7" borderId="3" applyAlignment="1" pivotButton="0" quotePrefix="0" xfId="0">
      <alignment horizontal="center" vertical="center" shrinkToFit="1"/>
    </xf>
    <xf numFmtId="0" fontId="1" fillId="3" borderId="0" applyAlignment="1" pivotButton="0" quotePrefix="0" xfId="0">
      <alignment vertical="center"/>
    </xf>
    <xf numFmtId="0" fontId="11" fillId="3" borderId="3" applyAlignment="1" pivotButton="0" quotePrefix="0" xfId="0">
      <alignment horizontal="center" vertical="center" wrapText="1"/>
    </xf>
    <xf numFmtId="0" fontId="11" fillId="6" borderId="3" applyAlignment="1" pivotButton="0" quotePrefix="0" xfId="0">
      <alignment horizontal="center" vertical="center" wrapText="1"/>
    </xf>
    <xf numFmtId="0" fontId="11" fillId="7" borderId="3" applyAlignment="1" pivotButton="0" quotePrefix="0" xfId="0">
      <alignment horizontal="center" vertical="center" wrapText="1"/>
    </xf>
    <xf numFmtId="0" fontId="0" fillId="4" borderId="2" applyAlignment="1" pivotButton="0" quotePrefix="0" xfId="0">
      <alignment vertical="center"/>
    </xf>
    <xf numFmtId="1" fontId="3" fillId="4" borderId="2" applyAlignment="1" pivotButton="0" quotePrefix="0" xfId="0">
      <alignment horizontal="right" vertical="center"/>
    </xf>
    <xf numFmtId="0" fontId="12" fillId="3" borderId="3" applyAlignment="1" pivotButton="0" quotePrefix="0" xfId="0">
      <alignment horizontal="center" vertical="center"/>
    </xf>
    <xf numFmtId="0" fontId="12" fillId="6" borderId="3" applyAlignment="1" pivotButton="0" quotePrefix="0" xfId="0">
      <alignment horizontal="center" vertical="center"/>
    </xf>
    <xf numFmtId="0" fontId="12" fillId="7" borderId="3" applyAlignment="1" pivotButton="0" quotePrefix="0" xfId="0">
      <alignment horizontal="center" vertical="center"/>
    </xf>
    <xf numFmtId="165" fontId="3" fillId="4" borderId="2" applyAlignment="1" pivotButton="0" quotePrefix="0" xfId="0">
      <alignment horizontal="right" vertical="center"/>
    </xf>
    <xf numFmtId="166" fontId="3" fillId="4" borderId="2" applyAlignment="1" pivotButton="0" quotePrefix="0" xfId="0">
      <alignment horizontal="right" vertical="center"/>
    </xf>
    <xf numFmtId="0" fontId="7" fillId="4" borderId="0" applyAlignment="1" pivotButton="0" quotePrefix="0" xfId="0">
      <alignment vertical="center"/>
    </xf>
    <xf numFmtId="0" fontId="7" fillId="4" borderId="0" applyAlignment="1" pivotButton="0" quotePrefix="0" xfId="0">
      <alignment horizontal="right" vertical="center"/>
    </xf>
    <xf numFmtId="0" fontId="8" fillId="0" borderId="0" pivotButton="0" quotePrefix="0" xfId="0"/>
    <xf numFmtId="0" fontId="6" fillId="0" borderId="0" pivotButton="0" quotePrefix="0" xfId="0"/>
    <xf numFmtId="0" fontId="2" fillId="0" borderId="0" pivotButton="0" quotePrefix="0" xfId="0"/>
    <xf numFmtId="0" fontId="1" fillId="3" borderId="0" pivotButton="0" quotePrefix="0" xfId="0"/>
    <xf numFmtId="0" fontId="3" fillId="0" borderId="0" pivotButton="0" quotePrefix="0" xfId="0"/>
  </cellXfs>
  <cellStyles count="1">
    <cellStyle name="Normal" xfId="0" builtinId="0" hidden="0"/>
  </cellStyles>
  <dxfs count="2">
    <dxf>
      <font>
        <b val="1"/>
        <color rgb="00C00000"/>
      </font>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 Id="rIdSlicerCache1" Type="http://schemas.microsoft.com/office/2007/relationships/slicerCache" Target="slicerCaches/slicerCache1.xml"/><Relationship Id="rIdSlicerCache2" Type="http://schemas.microsoft.com/office/2007/relationships/slicerCache" Target="slicerCaches/slicerCache2.xml"/><Relationship Id="rIdSlicerCache3" Type="http://schemas.microsoft.com/office/2007/relationships/slicerCache" Target="slicerCaches/slicerCache3.xml"/><Relationship Id="rIdSlicerCache4" Type="http://schemas.microsoft.com/office/2007/relationships/slicerCache" Target="slicerCaches/slicerCache4.xml"/></Relationships>
</file>

<file path=xl/charts/chart1.xml><?xml version="1.0" encoding="utf-8"?>
<chartSpace xmlns="http://schemas.openxmlformats.org/drawingml/2006/chart">
  <chart>
    <title>
      <tx>
        <strRef>
          <f>'Dashboard_Summaries'!$O$4</f>
          <strCache>
            <ptCount val="1"/>
            <pt idx="0">
              <v>Closed is the largest status group (48 of 120)</v>
            </pt>
          </strCache>
        </strRef>
      </tx>
      <overlay val="0"/>
      <txPr>
        <a:bodyPr xmlns:a="http://schemas.openxmlformats.org/drawingml/2006/main"/>
        <a:p xmlns:a="http://schemas.openxmlformats.org/drawingml/2006/main">
          <a:pPr>
            <a:defRPr sz="1300" b="1">
              <a:solidFill>
                <a:srgbClr val="404040"/>
              </a:solidFill>
            </a:defRPr>
          </a:pPr>
          <a:endParaRPr sz="1300" b="1">
            <a:solidFill>
              <a:srgbClr val="404040"/>
            </a:solidFill>
          </a:endParaRPr>
        </a:p>
      </txPr>
    </title>
    <plotArea>
      <barChart>
        <barDir val="col"/>
        <grouping val="clustered"/>
        <ser>
          <idx val="0"/>
          <order val="0"/>
          <tx>
            <strRef>
              <f>'Dashboard_Summaries'!B3</f>
            </strRef>
          </tx>
          <spPr>
            <a:solidFill xmlns:a="http://schemas.openxmlformats.org/drawingml/2006/main">
              <a:srgbClr val="1F4E79"/>
            </a:solidFill>
            <a:ln xmlns:a="http://schemas.openxmlformats.org/drawingml/2006/main">
              <a:prstDash val="solid"/>
            </a:ln>
          </spPr>
          <cat>
            <numRef>
              <f>'Dashboard_Summaries'!$A$4:$A$9</f>
            </numRef>
          </cat>
          <val>
            <numRef>
              <f>'Dashboard_Summaries'!$B$4:$B$9</f>
            </numRef>
          </val>
        </ser>
        <dLbls>
          <numFmt formatCode="0;;;" sourceLinked="0"/>
          <txPr>
            <a:bodyPr xmlns:a="http://schemas.openxmlformats.org/drawingml/2006/main"/>
            <a:p xmlns:a="http://schemas.openxmlformats.org/drawingml/2006/main">
              <a:pPr>
                <a:defRPr sz="900" b="0">
                  <a:solidFill>
                    <a:srgbClr val="404040"/>
                  </a:solidFill>
                </a:defRPr>
              </a:pPr>
              <a:endParaRPr sz="900" b="0">
                <a:solidFill>
                  <a:srgbClr val="404040"/>
                </a:solidFill>
              </a:endParaRPr>
            </a:p>
          </txPr>
          <showLegendKey val="0"/>
          <showVal val="1"/>
          <showCatName val="0"/>
          <showSerName val="0"/>
          <showPercent val="0"/>
        </dLbls>
        <gapWidth val="50"/>
        <axId val="10"/>
        <axId val="100"/>
      </barChart>
      <catAx>
        <axId val="10"/>
        <scaling>
          <orientation val="minMax"/>
        </scaling>
        <delete val="0"/>
        <axPos val="l"/>
        <majorTickMark val="none"/>
        <minorTickMark val="none"/>
        <txPr>
          <a:bodyPr xmlns:a="http://schemas.openxmlformats.org/drawingml/2006/main"/>
          <a:p xmlns:a="http://schemas.openxmlformats.org/drawingml/2006/main">
            <a:pPr>
              <a:defRPr sz="900" b="0">
                <a:solidFill>
                  <a:srgbClr val="404040"/>
                </a:solidFill>
              </a:defRPr>
            </a:pPr>
            <a:endParaRPr sz="900" b="0">
              <a:solidFill>
                <a:srgbClr val="404040"/>
              </a:solidFill>
            </a:endParaRPr>
          </a:p>
        </txPr>
        <crossAx val="100"/>
        <lblOffset val="100"/>
      </catAx>
      <valAx>
        <axId val="100"/>
        <scaling>
          <orientation val="minMax"/>
        </scaling>
        <delete val="1"/>
        <axPos val="l"/>
        <majorTickMark val="none"/>
        <minorTickMark val="none"/>
        <crossAx val="10"/>
      </valAx>
    </plotArea>
    <plotVisOnly val="1"/>
    <dispBlanksAs val="gap"/>
  </chart>
</chartSpace>
</file>

<file path=xl/charts/chart2.xml><?xml version="1.0" encoding="utf-8"?>
<chartSpace xmlns="http://schemas.openxmlformats.org/drawingml/2006/chart">
  <chart>
    <title>
      <tx>
        <strRef>
          <f>'Dashboard_Summaries'!$O$5</f>
          <strCache>
            <ptCount val="1"/>
            <pt idx="0">
              <v>All five job categories are level at 24 work orders</v>
            </pt>
          </strCache>
        </strRef>
      </tx>
      <overlay val="0"/>
      <txPr>
        <a:bodyPr xmlns:a="http://schemas.openxmlformats.org/drawingml/2006/main"/>
        <a:p xmlns:a="http://schemas.openxmlformats.org/drawingml/2006/main">
          <a:pPr>
            <a:defRPr sz="1300" b="1">
              <a:solidFill>
                <a:srgbClr val="404040"/>
              </a:solidFill>
            </a:defRPr>
          </a:pPr>
          <a:endParaRPr sz="1300" b="1">
            <a:solidFill>
              <a:srgbClr val="404040"/>
            </a:solidFill>
          </a:endParaRPr>
        </a:p>
      </txPr>
    </title>
    <plotArea>
      <barChart>
        <barDir val="bar"/>
        <grouping val="clustered"/>
        <ser>
          <idx val="0"/>
          <order val="0"/>
          <tx>
            <strRef>
              <f>'Dashboard_Summaries'!E3</f>
            </strRef>
          </tx>
          <spPr>
            <a:solidFill xmlns:a="http://schemas.openxmlformats.org/drawingml/2006/main">
              <a:srgbClr val="2E75B6"/>
            </a:solidFill>
            <a:ln xmlns:a="http://schemas.openxmlformats.org/drawingml/2006/main">
              <a:prstDash val="solid"/>
            </a:ln>
          </spPr>
          <cat>
            <numRef>
              <f>'Dashboard_Summaries'!$D$4:$D$8</f>
            </numRef>
          </cat>
          <val>
            <numRef>
              <f>'Dashboard_Summaries'!$E$4:$E$8</f>
            </numRef>
          </val>
        </ser>
        <dLbls>
          <numFmt formatCode="0;;;" sourceLinked="0"/>
          <txPr>
            <a:bodyPr xmlns:a="http://schemas.openxmlformats.org/drawingml/2006/main"/>
            <a:p xmlns:a="http://schemas.openxmlformats.org/drawingml/2006/main">
              <a:pPr>
                <a:defRPr sz="900" b="0">
                  <a:solidFill>
                    <a:srgbClr val="404040"/>
                  </a:solidFill>
                </a:defRPr>
              </a:pPr>
              <a:endParaRPr sz="900" b="0">
                <a:solidFill>
                  <a:srgbClr val="404040"/>
                </a:solidFill>
              </a:endParaRPr>
            </a:p>
          </txPr>
          <showLegendKey val="0"/>
          <showVal val="1"/>
          <showCatName val="0"/>
          <showSerName val="0"/>
          <showPercent val="0"/>
        </dLbls>
        <gapWidth val="5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404040"/>
                </a:solidFill>
              </a:defRPr>
            </a:pPr>
            <a:endParaRPr sz="900" b="0">
              <a:solidFill>
                <a:srgbClr val="404040"/>
              </a:solidFill>
            </a:endParaRPr>
          </a:p>
        </txPr>
        <crossAx val="100"/>
        <lblOffset val="100"/>
      </catAx>
      <valAx>
        <axId val="100"/>
        <scaling>
          <orientation val="minMax"/>
        </scaling>
        <delete val="1"/>
        <axPos val="l"/>
        <majorTickMark val="none"/>
        <minorTickMark val="none"/>
        <crossAx val="10"/>
      </valAx>
    </plotArea>
    <plotVisOnly val="1"/>
    <dispBlanksAs val="gap"/>
  </chart>
</chartSpace>
</file>

<file path=xl/charts/chart3.xml><?xml version="1.0" encoding="utf-8"?>
<chartSpace xmlns="http://schemas.openxmlformats.org/drawingml/2006/chart">
  <chart>
    <title>
      <tx>
        <strRef>
          <f>'Dashboard_Summaries'!$O$6</f>
          <strCache>
            <ptCount val="1"/>
            <pt idx="0">
              <v>Changi Workshop has the most overdue backlog (18 of 50)</v>
            </pt>
          </strCache>
        </strRef>
      </tx>
      <overlay val="0"/>
      <txPr>
        <a:bodyPr xmlns:a="http://schemas.openxmlformats.org/drawingml/2006/main"/>
        <a:p xmlns:a="http://schemas.openxmlformats.org/drawingml/2006/main">
          <a:pPr>
            <a:defRPr sz="1300" b="1">
              <a:solidFill>
                <a:srgbClr val="404040"/>
              </a:solidFill>
            </a:defRPr>
          </a:pPr>
          <a:endParaRPr sz="1300" b="1">
            <a:solidFill>
              <a:srgbClr val="404040"/>
            </a:solidFill>
          </a:endParaRPr>
        </a:p>
      </txPr>
    </title>
    <plotArea>
      <barChart>
        <barDir val="bar"/>
        <grouping val="stacked"/>
        <ser>
          <idx val="0"/>
          <order val="0"/>
          <tx>
            <strRef>
              <f>'Dashboard_Summaries'!H3</f>
            </strRef>
          </tx>
          <spPr>
            <a:solidFill xmlns:a="http://schemas.openxmlformats.org/drawingml/2006/main">
              <a:srgbClr val="1F4E79"/>
            </a:solidFill>
            <a:ln xmlns:a="http://schemas.openxmlformats.org/drawingml/2006/main">
              <a:prstDash val="solid"/>
            </a:ln>
          </spPr>
          <cat>
            <numRef>
              <f>'Dashboard_Summaries'!$G$4:$G$8</f>
            </numRef>
          </cat>
          <val>
            <numRef>
              <f>'Dashboard_Summaries'!$H$4:$H$8</f>
            </numRef>
          </val>
        </ser>
        <ser>
          <idx val="1"/>
          <order val="1"/>
          <tx>
            <strRef>
              <f>'Dashboard_Summaries'!I3</f>
            </strRef>
          </tx>
          <spPr>
            <a:solidFill xmlns:a="http://schemas.openxmlformats.org/drawingml/2006/main">
              <a:srgbClr val="2E75B6"/>
            </a:solidFill>
            <a:ln xmlns:a="http://schemas.openxmlformats.org/drawingml/2006/main">
              <a:prstDash val="solid"/>
            </a:ln>
          </spPr>
          <cat>
            <numRef>
              <f>'Dashboard_Summaries'!$G$4:$G$8</f>
            </numRef>
          </cat>
          <val>
            <numRef>
              <f>'Dashboard_Summaries'!$I$4:$I$8</f>
            </numRef>
          </val>
        </ser>
        <ser>
          <idx val="2"/>
          <order val="2"/>
          <tx>
            <strRef>
              <f>'Dashboard_Summaries'!J3</f>
            </strRef>
          </tx>
          <spPr>
            <a:solidFill xmlns:a="http://schemas.openxmlformats.org/drawingml/2006/main">
              <a:srgbClr val="2A9D8F"/>
            </a:solidFill>
            <a:ln xmlns:a="http://schemas.openxmlformats.org/drawingml/2006/main">
              <a:prstDash val="solid"/>
            </a:ln>
          </spPr>
          <cat>
            <numRef>
              <f>'Dashboard_Summaries'!$G$4:$G$8</f>
            </numRef>
          </cat>
          <val>
            <numRef>
              <f>'Dashboard_Summaries'!$J$4:$J$8</f>
            </numRef>
          </val>
        </ser>
        <ser>
          <idx val="3"/>
          <order val="3"/>
          <tx>
            <strRef>
              <f>'Dashboard_Summaries'!K3</f>
            </strRef>
          </tx>
          <spPr>
            <a:solidFill xmlns:a="http://schemas.openxmlformats.org/drawingml/2006/main">
              <a:srgbClr val="A6A6A6"/>
            </a:solidFill>
            <a:ln xmlns:a="http://schemas.openxmlformats.org/drawingml/2006/main">
              <a:prstDash val="solid"/>
            </a:ln>
          </spPr>
          <cat>
            <numRef>
              <f>'Dashboard_Summaries'!$G$4:$G$8</f>
            </numRef>
          </cat>
          <val>
            <numRef>
              <f>'Dashboard_Summaries'!$K$4:$K$8</f>
            </numRef>
          </val>
        </ser>
        <dLbls>
          <numFmt formatCode="0;;;" sourceLinked="0"/>
          <txPr>
            <a:bodyPr xmlns:a="http://schemas.openxmlformats.org/drawingml/2006/main"/>
            <a:p xmlns:a="http://schemas.openxmlformats.org/drawingml/2006/main">
              <a:pPr>
                <a:defRPr sz="900" b="0">
                  <a:solidFill>
                    <a:srgbClr val="FFFFFF"/>
                  </a:solidFill>
                </a:defRPr>
              </a:pPr>
              <a:endParaRPr sz="900" b="0">
                <a:solidFill>
                  <a:srgbClr val="FFFFFF"/>
                </a:solidFill>
              </a:endParaRPr>
            </a:p>
          </txPr>
          <showLegendKey val="0"/>
          <showVal val="1"/>
          <showCatName val="0"/>
          <showSerName val="0"/>
          <showPercent val="0"/>
        </dLbls>
        <gapWidth val="50"/>
        <overlap val="100"/>
        <axId val="10"/>
        <axId val="100"/>
      </barChart>
      <catAx>
        <axId val="10"/>
        <scaling>
          <orientation val="maxMin"/>
        </scaling>
        <delete val="0"/>
        <axPos val="l"/>
        <majorTickMark val="none"/>
        <minorTickMark val="none"/>
        <txPr>
          <a:bodyPr xmlns:a="http://schemas.openxmlformats.org/drawingml/2006/main"/>
          <a:p xmlns:a="http://schemas.openxmlformats.org/drawingml/2006/main">
            <a:pPr>
              <a:defRPr sz="900" b="0">
                <a:solidFill>
                  <a:srgbClr val="404040"/>
                </a:solidFill>
              </a:defRPr>
            </a:pPr>
            <a:endParaRPr sz="900" b="0">
              <a:solidFill>
                <a:srgbClr val="404040"/>
              </a:solidFill>
            </a:endParaRPr>
          </a:p>
        </txPr>
        <crossAx val="100"/>
        <lblOffset val="100"/>
      </catAx>
      <valAx>
        <axId val="100"/>
        <scaling>
          <orientation val="minMax"/>
        </scaling>
        <delete val="1"/>
        <axPos val="l"/>
        <majorTickMark val="none"/>
        <minorTickMark val="none"/>
        <crossAx val="10"/>
      </valAx>
    </plotArea>
    <legend>
      <legendPos val="b"/>
      <txPr>
        <a:bodyPr xmlns:a="http://schemas.openxmlformats.org/drawingml/2006/main"/>
        <a:p xmlns:a="http://schemas.openxmlformats.org/drawingml/2006/main">
          <a:pPr>
            <a:defRPr sz="900" b="0">
              <a:solidFill>
                <a:srgbClr val="404040"/>
              </a:solidFill>
            </a:defRPr>
          </a:pPr>
          <a:endParaRPr sz="900" b="0">
            <a:solidFill>
              <a:srgbClr val="404040"/>
            </a:solidFill>
          </a:endParaRPr>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a="http://schemas.openxmlformats.org/drawingml/2006/main" xmlns="http://schemas.openxmlformats.org/drawingml/2006/spreadsheetDrawing" xmlns:xdr="http://schemas.openxmlformats.org/drawingml/2006/spreadsheetDrawing">
  <oneCellAnchor>
    <from>
      <col>3</col>
      <colOff>0</colOff>
      <row>8</row>
      <rowOff>0</rowOff>
    </from>
    <ext cx="4942857"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8</row>
      <rowOff>0</rowOff>
    </from>
    <ext cx="4942857" cy="295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3</col>
      <colOff>0</colOff>
      <row>25</row>
      <rowOff>0</rowOff>
    </from>
    <ext cx="9885714" cy="309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xdr:twoCellAnchor editAs="oneCell">
    <xdr:from>
      <xdr:col>10</xdr:col>
      <xdr:colOff>38100</xdr:colOff>
      <xdr:row>3</xdr:row>
      <xdr:rowOff>0</xdr:rowOff>
    </xdr:from>
    <xdr:to>
      <xdr:col>10</xdr:col>
      <xdr:colOff>2038350</xdr:colOff>
      <xdr:row>6</xdr:row>
      <xdr:rowOff>66675</xdr:rowOff>
    </xdr:to>
    <mc:AlternateContent xmlns:mc="http://schemas.openxmlformats.org/markup-compatibility/2006">
      <mc:Choice xmlns:sle15="http://schemas.microsoft.com/office/drawing/2012/slicer" Requires="sle15">
        <xdr:graphicFrame macro="">
          <xdr:nvGraphicFramePr>
            <xdr:cNvPr id="100" name="Site"/>
            <xdr:cNvGraphicFramePr/>
          </xdr:nvGraphicFramePr>
          <xdr:xfrm>
            <a:off x="0" y="0"/>
            <a:ext cx="0" cy="0"/>
          </xdr:xfrm>
          <a:graphic>
            <a:graphicData uri="http://schemas.microsoft.com/office/drawing/2010/slicer">
              <sle:slicer xmlns:sle="http://schemas.microsoft.com/office/drawing/2010/slicer" name="Site"/>
            </a:graphicData>
          </a:graphic>
        </xdr:graphicFrame>
      </mc:Choice>
      <mc:Fallback>
        <xdr:sp macro="" textlink="">
          <xdr:nvSpPr>
            <xdr:cNvPr id="0" name=""/>
            <xdr:cNvSpPr>
              <a:spLocks noTextEdit="1"/>
            </xdr:cNvSpPr>
          </xdr:nvSpPr>
          <xdr:spPr>
            <a:xfrm>
              <a:off x="0" y="0"/>
              <a:ext cx="2300000" cy="160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need Excel 2013 or later.</a:t>
              </a:r>
            </a:p>
          </xdr:txBody>
        </xdr:sp>
      </mc:Fallback>
    </mc:AlternateContent>
    <xdr:clientData/>
  </xdr:twoCellAnchor>
  <xdr:twoCellAnchor editAs="oneCell">
    <xdr:from>
      <xdr:col>10</xdr:col>
      <xdr:colOff>38100</xdr:colOff>
      <xdr:row>6</xdr:row>
      <xdr:rowOff>161925</xdr:rowOff>
    </xdr:from>
    <xdr:to>
      <xdr:col>10</xdr:col>
      <xdr:colOff>2038350</xdr:colOff>
      <xdr:row>14</xdr:row>
      <xdr:rowOff>142875</xdr:rowOff>
    </xdr:to>
    <mc:AlternateContent xmlns:mc="http://schemas.openxmlformats.org/markup-compatibility/2006">
      <mc:Choice xmlns:sle15="http://schemas.microsoft.com/office/drawing/2012/slicer" Requires="sle15">
        <xdr:graphicFrame macro="">
          <xdr:nvGraphicFramePr>
            <xdr:cNvPr id="101" name="Job_Category"/>
            <xdr:cNvGraphicFramePr/>
          </xdr:nvGraphicFramePr>
          <xdr:xfrm>
            <a:off x="0" y="0"/>
            <a:ext cx="0" cy="0"/>
          </xdr:xfrm>
          <a:graphic>
            <a:graphicData uri="http://schemas.microsoft.com/office/drawing/2010/slicer">
              <sle:slicer xmlns:sle="http://schemas.microsoft.com/office/drawing/2010/slicer" name="Job_Category"/>
            </a:graphicData>
          </a:graphic>
        </xdr:graphicFrame>
      </mc:Choice>
      <mc:Fallback>
        <xdr:sp macro="" textlink="">
          <xdr:nvSpPr>
            <xdr:cNvPr id="0" name=""/>
            <xdr:cNvSpPr>
              <a:spLocks noTextEdit="1"/>
            </xdr:cNvSpPr>
          </xdr:nvSpPr>
          <xdr:spPr>
            <a:xfrm>
              <a:off x="0" y="0"/>
              <a:ext cx="2300000" cy="160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need Excel 2013 or later.</a:t>
              </a:r>
            </a:p>
          </xdr:txBody>
        </xdr:sp>
      </mc:Fallback>
    </mc:AlternateContent>
    <xdr:clientData/>
  </xdr:twoCellAnchor>
  <xdr:twoCellAnchor editAs="oneCell">
    <xdr:from>
      <xdr:col>10</xdr:col>
      <xdr:colOff>38100</xdr:colOff>
      <xdr:row>15</xdr:row>
      <xdr:rowOff>47625</xdr:rowOff>
    </xdr:from>
    <xdr:to>
      <xdr:col>10</xdr:col>
      <xdr:colOff>2038350</xdr:colOff>
      <xdr:row>21</xdr:row>
      <xdr:rowOff>28575</xdr:rowOff>
    </xdr:to>
    <mc:AlternateContent xmlns:mc="http://schemas.openxmlformats.org/markup-compatibility/2006">
      <mc:Choice xmlns:sle15="http://schemas.microsoft.com/office/drawing/2012/slicer" Requires="sle15">
        <xdr:graphicFrame macro="">
          <xdr:nvGraphicFramePr>
            <xdr:cNvPr id="102"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0" y="0"/>
              <a:ext cx="2300000" cy="160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need Excel 2013 or later.</a:t>
              </a:r>
            </a:p>
          </xdr:txBody>
        </xdr:sp>
      </mc:Fallback>
    </mc:AlternateContent>
    <xdr:clientData/>
  </xdr:twoCellAnchor>
  <xdr:twoCellAnchor editAs="oneCell">
    <xdr:from>
      <xdr:col>10</xdr:col>
      <xdr:colOff>38100</xdr:colOff>
      <xdr:row>21</xdr:row>
      <xdr:rowOff>123825</xdr:rowOff>
    </xdr:from>
    <xdr:to>
      <xdr:col>10</xdr:col>
      <xdr:colOff>2038350</xdr:colOff>
      <xdr:row>29</xdr:row>
      <xdr:rowOff>142875</xdr:rowOff>
    </xdr:to>
    <mc:AlternateContent xmlns:mc="http://schemas.openxmlformats.org/markup-compatibility/2006">
      <mc:Choice xmlns:sle15="http://schemas.microsoft.com/office/drawing/2012/slicer" Requires="sle15">
        <xdr:graphicFrame macro="">
          <xdr:nvGraphicFramePr>
            <xdr:cNvPr id="103" name="Assigned_To"/>
            <xdr:cNvGraphicFramePr/>
          </xdr:nvGraphicFramePr>
          <xdr:xfrm>
            <a:off x="0" y="0"/>
            <a:ext cx="0" cy="0"/>
          </xdr:xfrm>
          <a:graphic>
            <a:graphicData uri="http://schemas.microsoft.com/office/drawing/2010/slicer">
              <sle:slicer xmlns:sle="http://schemas.microsoft.com/office/drawing/2010/slicer" name="Assigned_To"/>
            </a:graphicData>
          </a:graphic>
        </xdr:graphicFrame>
      </mc:Choice>
      <mc:Fallback>
        <xdr:sp macro="" textlink="">
          <xdr:nvSpPr>
            <xdr:cNvPr id="0" name=""/>
            <xdr:cNvSpPr>
              <a:spLocks noTextEdit="1"/>
            </xdr:cNvSpPr>
          </xdr:nvSpPr>
          <xdr:spPr>
            <a:xfrm>
              <a:off x="0" y="0"/>
              <a:ext cx="2300000" cy="1600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need Excel 2013 or later.</a:t>
              </a:r>
            </a:p>
          </xdr:txBody>
        </xdr:sp>
      </mc:Fallback>
    </mc:AlternateContent>
    <xdr:clientData/>
  </xdr:twoCellAnchor>
</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ite" sourceName="Sit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Job_Category" sourceName="Job_Category">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tatus" sourceName="Status">
  <extLst>
    <x:ext xmlns:x15="http://schemas.microsoft.com/office/spreadsheetml/2010/11/main" uri="{2F2917AC-EB37-4324-AD4E-5DD8C200BD13}">
      <x15:tableSlicerCache tableId="1" column="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ssigned_To" sourceName="Assigned_To">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ite" cache="Slicer_Site" caption="Site" columnCount="1" style="SlicerStyleLight1" rowHeight="225425"/>
  <slicer name="Job_Category" cache="Slicer_Job_Category" caption="Job Category" columnCount="1" style="SlicerStyleLight1" rowHeight="225425"/>
  <slicer name="Status" cache="Slicer_Status" caption="Status" columnCount="2" style="SlicerStyleLight1" rowHeight="225425"/>
  <slicer name="Assigned_To" cache="Slicer_Assigned_To" caption="Assigned To" columnCount="2" style="SlicerStyleLight1" rowHeight="225425"/>
</slicers>
</file>

<file path=xl/tables/table1.xml><?xml version="1.0" encoding="utf-8"?>
<table xmlns="http://schemas.openxmlformats.org/spreadsheetml/2006/main" id="1" name="tblWorkOrders" displayName="tblWorkOrders" ref="A1:M121" headerRowCount="1">
  <autoFilter ref="A1:M121"/>
  <tableColumns count="13">
    <tableColumn id="1" name="Work_Order_ID"/>
    <tableColumn id="2" name="Site"/>
    <tableColumn id="3" name="Job_Category"/>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Technicians" displayName="tblTechnicians" ref="A1:D9" headerRowCount="1">
  <autoFilter ref="A1:D9"/>
  <tableColumns count="4">
    <tableColumn id="1" name="Technician"/>
    <tableColumn id="2" name="Primary_Category"/>
    <tableColumn id="3" name="Available_Hours_Week"/>
    <tableColumn id="4" name="Home_Sit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9.xml.rels><Relationships xmlns="http://schemas.openxmlformats.org/package/2006/relationships"><Relationship Type="http://schemas.openxmlformats.org/officeDocument/2006/relationships/drawing" Target="/xl/drawings/drawing1.xml" Id="rId1"/><Relationship Id="rIdSlicer1" Type="http://schemas.microsoft.com/office/2007/relationships/slicer" Target="../slicers/slicer1.xml"/></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Northstar Water Services - fictional water-pipe maintenance and service company</t>
        </is>
      </c>
    </row>
    <row r="3">
      <c r="A3" s="2" t="inlineStr">
        <is>
          <t>Reporting date</t>
        </is>
      </c>
      <c r="B3" s="6" t="n">
        <v>46295</v>
      </c>
    </row>
    <row r="4">
      <c r="A4" s="2" t="inlineStr">
        <is>
          <t>Scope</t>
        </is>
      </c>
      <c r="B4" s="2" t="inlineStr">
        <is>
          <t>120 Q3 2026 work orders, five sites. All identities and records are synthetic.</t>
        </is>
      </c>
    </row>
    <row r="5">
      <c r="A5" s="2" t="inlineStr">
        <is>
          <t>Meaning</t>
        </is>
      </c>
      <c r="B5" s="2" t="inlineStr">
        <is>
          <t>Cost is cumulative recorded cost of all statuses; not a budget or productivity claim.</t>
        </is>
      </c>
    </row>
    <row r="6">
      <c r="A6" s="2" t="inlineStr">
        <is>
          <t>Rejoin</t>
        </is>
      </c>
      <c r="B6" s="2" t="inlineStr">
        <is>
          <t>This input is a deterministic checkpoint, not proof of your Copilot output.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Work_Order_ID</t>
        </is>
      </c>
      <c r="B1" s="1" t="inlineStr">
        <is>
          <t>Site</t>
        </is>
      </c>
      <c r="C1" s="1" t="inlineStr">
        <is>
          <t>Job_Category</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WO-2026-0001</t>
        </is>
      </c>
      <c r="B2" s="2" t="inlineStr">
        <is>
          <t>Woodlands Hub</t>
        </is>
      </c>
      <c r="C2" s="2" t="inlineStr">
        <is>
          <t>Leak Repair</t>
        </is>
      </c>
      <c r="D2" s="2" t="inlineStr">
        <is>
          <t>Low</t>
        </is>
      </c>
      <c r="E2" s="2" t="inlineStr">
        <is>
          <t>Closed</t>
        </is>
      </c>
      <c r="F2" s="2" t="inlineStr">
        <is>
          <t>Aisha Tan</t>
        </is>
      </c>
      <c r="G2" s="6" t="n">
        <v>46290</v>
      </c>
      <c r="H2" s="6" t="n">
        <v>46297</v>
      </c>
      <c r="I2" s="6" t="n">
        <v>46295</v>
      </c>
      <c r="J2" s="2" t="n">
        <v>2</v>
      </c>
      <c r="K2" s="2" t="n">
        <v>1</v>
      </c>
      <c r="L2" s="2" t="n">
        <v>90</v>
      </c>
      <c r="M2" s="2" t="inlineStr">
        <is>
          <t>Leak Repair scheduled or reactive task 001</t>
        </is>
      </c>
    </row>
    <row r="3">
      <c r="A3" s="2" t="inlineStr">
        <is>
          <t>WO-2026-0002</t>
        </is>
      </c>
      <c r="B3" s="2" t="inlineStr">
        <is>
          <t>Woodlands Hub</t>
        </is>
      </c>
      <c r="C3" s="2" t="inlineStr">
        <is>
          <t>Leak Repair</t>
        </is>
      </c>
      <c r="D3" s="2" t="inlineStr">
        <is>
          <t>Medium</t>
        </is>
      </c>
      <c r="E3" s="2" t="inlineStr">
        <is>
          <t>Closed</t>
        </is>
      </c>
      <c r="F3" s="2" t="inlineStr">
        <is>
          <t>Ben Lim</t>
        </is>
      </c>
      <c r="G3" s="6" t="n">
        <v>46289</v>
      </c>
      <c r="H3" s="6" t="n">
        <v>46297</v>
      </c>
      <c r="I3" s="6" t="n">
        <v>46295</v>
      </c>
      <c r="J3" s="2" t="n">
        <v>3</v>
      </c>
      <c r="K3" s="2" t="n">
        <v>2</v>
      </c>
      <c r="L3" s="2" t="n">
        <v>125.5</v>
      </c>
      <c r="M3" s="2" t="inlineStr">
        <is>
          <t>Leak Repair scheduled or reactive task 002</t>
        </is>
      </c>
    </row>
    <row r="4">
      <c r="A4" s="2" t="inlineStr">
        <is>
          <t>WO-2026-0003</t>
        </is>
      </c>
      <c r="B4" s="2" t="inlineStr">
        <is>
          <t>Woodlands Hub</t>
        </is>
      </c>
      <c r="C4" s="2" t="inlineStr">
        <is>
          <t>Leak Repair</t>
        </is>
      </c>
      <c r="D4" s="2" t="inlineStr">
        <is>
          <t>High</t>
        </is>
      </c>
      <c r="E4" s="2" t="inlineStr">
        <is>
          <t>In Progress</t>
        </is>
      </c>
      <c r="F4" s="2" t="inlineStr">
        <is>
          <t>Chloe Goh</t>
        </is>
      </c>
      <c r="G4" s="6" t="n">
        <v>46288</v>
      </c>
      <c r="H4" s="6" t="n">
        <v>46297</v>
      </c>
      <c r="I4" s="2" t="n"/>
      <c r="J4" s="2" t="n">
        <v>4</v>
      </c>
      <c r="K4" s="2" t="n">
        <v>0</v>
      </c>
      <c r="L4" s="2" t="n">
        <v>161</v>
      </c>
      <c r="M4" s="2" t="inlineStr">
        <is>
          <t>Leak Repair scheduled or reactive task 003</t>
        </is>
      </c>
    </row>
    <row r="5">
      <c r="A5" s="2" t="inlineStr">
        <is>
          <t>WO-2026-0004</t>
        </is>
      </c>
      <c r="B5" s="2" t="inlineStr">
        <is>
          <t>Jurong Depot</t>
        </is>
      </c>
      <c r="C5" s="2" t="inlineStr">
        <is>
          <t>Leak Repair</t>
        </is>
      </c>
      <c r="D5" s="2" t="inlineStr">
        <is>
          <t>Critical</t>
        </is>
      </c>
      <c r="E5" s="2" t="inlineStr">
        <is>
          <t>On Hold</t>
        </is>
      </c>
      <c r="F5" s="2" t="inlineStr">
        <is>
          <t>Daniel Lee</t>
        </is>
      </c>
      <c r="G5" s="6" t="n">
        <v>46287</v>
      </c>
      <c r="H5" s="6" t="n">
        <v>46297</v>
      </c>
      <c r="I5" s="2" t="n"/>
      <c r="J5" s="2" t="n">
        <v>5</v>
      </c>
      <c r="K5" s="2" t="n">
        <v>0</v>
      </c>
      <c r="L5" s="2" t="n">
        <v>196.5</v>
      </c>
      <c r="M5" s="2" t="inlineStr">
        <is>
          <t>Leak Repair scheduled or reactive task 004</t>
        </is>
      </c>
    </row>
    <row r="6">
      <c r="A6" s="2" t="inlineStr">
        <is>
          <t>WO-2026-0005</t>
        </is>
      </c>
      <c r="B6" s="2" t="inlineStr">
        <is>
          <t>Jurong Depot</t>
        </is>
      </c>
      <c r="C6" s="2" t="inlineStr">
        <is>
          <t>Valve Repair</t>
        </is>
      </c>
      <c r="D6" s="2" t="inlineStr">
        <is>
          <t>Low</t>
        </is>
      </c>
      <c r="E6" s="2" t="inlineStr">
        <is>
          <t>New</t>
        </is>
      </c>
      <c r="F6" s="2" t="inlineStr">
        <is>
          <t>Elena Ong</t>
        </is>
      </c>
      <c r="G6" s="6" t="n">
        <v>46286</v>
      </c>
      <c r="H6" s="6" t="n">
        <v>46297</v>
      </c>
      <c r="I6" s="2" t="n"/>
      <c r="J6" s="2" t="n">
        <v>6</v>
      </c>
      <c r="K6" s="2" t="n">
        <v>0</v>
      </c>
      <c r="L6" s="2" t="n">
        <v>232</v>
      </c>
      <c r="M6" s="2" t="inlineStr">
        <is>
          <t>Valve Repair scheduled or reactive task 005</t>
        </is>
      </c>
    </row>
    <row r="7">
      <c r="A7" s="2" t="inlineStr">
        <is>
          <t>WO-2026-0006</t>
        </is>
      </c>
      <c r="B7" s="2" t="inlineStr">
        <is>
          <t>Jurong Depot</t>
        </is>
      </c>
      <c r="C7" s="2" t="inlineStr">
        <is>
          <t>Valve Repair</t>
        </is>
      </c>
      <c r="D7" s="2" t="inlineStr">
        <is>
          <t>Medium</t>
        </is>
      </c>
      <c r="E7" s="2" t="inlineStr">
        <is>
          <t>Closed</t>
        </is>
      </c>
      <c r="F7" s="2" t="inlineStr">
        <is>
          <t>Farid Rahman</t>
        </is>
      </c>
      <c r="G7" s="6" t="n">
        <v>46285</v>
      </c>
      <c r="H7" s="6" t="n">
        <v>46297</v>
      </c>
      <c r="I7" s="6" t="n">
        <v>46295</v>
      </c>
      <c r="J7" s="2" t="n">
        <v>7</v>
      </c>
      <c r="K7" s="2" t="n">
        <v>6</v>
      </c>
      <c r="L7" s="2" t="n">
        <v>267.5</v>
      </c>
      <c r="M7" s="2" t="inlineStr">
        <is>
          <t>Valve Repair scheduled or reactive task 006</t>
        </is>
      </c>
    </row>
    <row r="8">
      <c r="A8" s="2" t="inlineStr">
        <is>
          <t>WO-2026-0007</t>
        </is>
      </c>
      <c r="B8" s="2" t="inlineStr">
        <is>
          <t>Tampines Centre</t>
        </is>
      </c>
      <c r="C8" s="2" t="inlineStr">
        <is>
          <t>Valve Repair</t>
        </is>
      </c>
      <c r="D8" s="2" t="inlineStr">
        <is>
          <t>High</t>
        </is>
      </c>
      <c r="E8" s="2" t="inlineStr">
        <is>
          <t>Closed</t>
        </is>
      </c>
      <c r="F8" s="2" t="inlineStr">
        <is>
          <t>Grace Ng</t>
        </is>
      </c>
      <c r="G8" s="6" t="n">
        <v>46284</v>
      </c>
      <c r="H8" s="6" t="n">
        <v>46297</v>
      </c>
      <c r="I8" s="6" t="n">
        <v>46295</v>
      </c>
      <c r="J8" s="2" t="n">
        <v>8</v>
      </c>
      <c r="K8" s="2" t="n">
        <v>7</v>
      </c>
      <c r="L8" s="2" t="n">
        <v>303</v>
      </c>
      <c r="M8" s="2" t="inlineStr">
        <is>
          <t>Valve Repair scheduled or reactive task 007</t>
        </is>
      </c>
    </row>
    <row r="9">
      <c r="A9" s="2" t="inlineStr">
        <is>
          <t>WO-2026-0008</t>
        </is>
      </c>
      <c r="B9" s="2" t="inlineStr">
        <is>
          <t>Tampines Centre</t>
        </is>
      </c>
      <c r="C9" s="2" t="inlineStr">
        <is>
          <t>Valve Repair</t>
        </is>
      </c>
      <c r="D9" s="2" t="inlineStr">
        <is>
          <t>Critical</t>
        </is>
      </c>
      <c r="E9" s="2" t="inlineStr">
        <is>
          <t>On Hold</t>
        </is>
      </c>
      <c r="F9" s="2" t="inlineStr">
        <is>
          <t>Hari Kumar</t>
        </is>
      </c>
      <c r="G9" s="6" t="n">
        <v>46283</v>
      </c>
      <c r="H9" s="6" t="n">
        <v>46297</v>
      </c>
      <c r="I9" s="2" t="n"/>
      <c r="J9" s="2" t="n">
        <v>2</v>
      </c>
      <c r="K9" s="2" t="n">
        <v>0</v>
      </c>
      <c r="L9" s="2" t="n">
        <v>338.5</v>
      </c>
      <c r="M9" s="2" t="inlineStr">
        <is>
          <t>Valve Repair scheduled or reactive task 008</t>
        </is>
      </c>
    </row>
    <row r="10">
      <c r="A10" s="2" t="inlineStr">
        <is>
          <t>WO-2026-0009</t>
        </is>
      </c>
      <c r="B10" s="2" t="inlineStr">
        <is>
          <t>Tampines Centre</t>
        </is>
      </c>
      <c r="C10" s="2" t="inlineStr">
        <is>
          <t>Pipe Replacement</t>
        </is>
      </c>
      <c r="D10" s="2" t="inlineStr">
        <is>
          <t>Low</t>
        </is>
      </c>
      <c r="E10" s="2" t="inlineStr">
        <is>
          <t>New</t>
        </is>
      </c>
      <c r="F10" s="2" t="inlineStr">
        <is>
          <t>Aisha Tan</t>
        </is>
      </c>
      <c r="G10" s="6" t="n">
        <v>46282</v>
      </c>
      <c r="H10" s="6" t="n">
        <v>46297</v>
      </c>
      <c r="I10" s="2" t="n"/>
      <c r="J10" s="2" t="n">
        <v>3</v>
      </c>
      <c r="K10" s="2" t="n">
        <v>0</v>
      </c>
      <c r="L10" s="2" t="n">
        <v>374</v>
      </c>
      <c r="M10" s="2" t="inlineStr">
        <is>
          <t>Pipe Replacement scheduled or reactive task 009</t>
        </is>
      </c>
    </row>
    <row r="11">
      <c r="A11" s="2" t="inlineStr">
        <is>
          <t>WO-2026-0010</t>
        </is>
      </c>
      <c r="B11" s="2" t="inlineStr">
        <is>
          <t>Paya Lebar Office</t>
        </is>
      </c>
      <c r="C11" s="2" t="inlineStr">
        <is>
          <t>Pipe Replacement</t>
        </is>
      </c>
      <c r="D11" s="2" t="inlineStr">
        <is>
          <t>Medium</t>
        </is>
      </c>
      <c r="E11" s="2" t="inlineStr">
        <is>
          <t>Cancelled</t>
        </is>
      </c>
      <c r="F11" s="2" t="inlineStr">
        <is>
          <t>Ben Lim</t>
        </is>
      </c>
      <c r="G11" s="6" t="n">
        <v>46281</v>
      </c>
      <c r="H11" s="6" t="n">
        <v>46297</v>
      </c>
      <c r="I11" s="2" t="n"/>
      <c r="J11" s="2" t="n">
        <v>4</v>
      </c>
      <c r="K11" s="2" t="n">
        <v>0</v>
      </c>
      <c r="L11" s="2" t="n">
        <v>409.5</v>
      </c>
      <c r="M11" s="2" t="inlineStr">
        <is>
          <t>Pipe Replacement scheduled or reactive task 010</t>
        </is>
      </c>
    </row>
    <row r="12">
      <c r="A12" s="2" t="inlineStr">
        <is>
          <t>WO-2026-0011</t>
        </is>
      </c>
      <c r="B12" s="2" t="inlineStr">
        <is>
          <t>Paya Lebar Office</t>
        </is>
      </c>
      <c r="C12" s="2" t="inlineStr">
        <is>
          <t>Pipe Replacement</t>
        </is>
      </c>
      <c r="D12" s="2" t="inlineStr">
        <is>
          <t>High</t>
        </is>
      </c>
      <c r="E12" s="2" t="inlineStr">
        <is>
          <t>Closed</t>
        </is>
      </c>
      <c r="F12" s="2" t="inlineStr">
        <is>
          <t>Chloe Goh</t>
        </is>
      </c>
      <c r="G12" s="6" t="n">
        <v>46280</v>
      </c>
      <c r="H12" s="6" t="n">
        <v>46287</v>
      </c>
      <c r="I12" s="6" t="n">
        <v>46287</v>
      </c>
      <c r="J12" s="2" t="n">
        <v>5</v>
      </c>
      <c r="K12" s="2" t="n">
        <v>2</v>
      </c>
      <c r="L12" s="2" t="n">
        <v>445</v>
      </c>
      <c r="M12" s="2" t="inlineStr">
        <is>
          <t>Pipe Replacement scheduled or reactive task 011</t>
        </is>
      </c>
    </row>
    <row r="13">
      <c r="A13" s="2" t="inlineStr">
        <is>
          <t>WO-2026-0012</t>
        </is>
      </c>
      <c r="B13" s="2" t="inlineStr">
        <is>
          <t>Paya Lebar Office</t>
        </is>
      </c>
      <c r="C13" s="2" t="inlineStr">
        <is>
          <t>Pipe Replacement</t>
        </is>
      </c>
      <c r="D13" s="2" t="inlineStr">
        <is>
          <t>Critical</t>
        </is>
      </c>
      <c r="E13" s="2" t="inlineStr">
        <is>
          <t>Closed</t>
        </is>
      </c>
      <c r="F13" s="2" t="inlineStr">
        <is>
          <t>Daniel Lee</t>
        </is>
      </c>
      <c r="G13" s="6" t="n">
        <v>46279</v>
      </c>
      <c r="H13" s="6" t="n">
        <v>46287</v>
      </c>
      <c r="I13" s="6" t="n">
        <v>46287</v>
      </c>
      <c r="J13" s="2" t="n">
        <v>6</v>
      </c>
      <c r="K13" s="2" t="n">
        <v>3</v>
      </c>
      <c r="L13" s="2" t="n">
        <v>480.5</v>
      </c>
      <c r="M13" s="2" t="inlineStr">
        <is>
          <t>Pipe Replacement scheduled or reactive task 012</t>
        </is>
      </c>
    </row>
    <row r="14">
      <c r="A14" s="2" t="inlineStr">
        <is>
          <t>WO-2026-0013</t>
        </is>
      </c>
      <c r="B14" s="2" t="inlineStr">
        <is>
          <t>Changi Workshop</t>
        </is>
      </c>
      <c r="C14" s="2" t="inlineStr">
        <is>
          <t>Pump Service</t>
        </is>
      </c>
      <c r="D14" s="2" t="inlineStr">
        <is>
          <t>Low</t>
        </is>
      </c>
      <c r="E14" s="2" t="inlineStr">
        <is>
          <t>New</t>
        </is>
      </c>
      <c r="F14" s="2" t="n"/>
      <c r="G14" s="6" t="n">
        <v>46278</v>
      </c>
      <c r="H14" s="6" t="n">
        <v>46287</v>
      </c>
      <c r="I14" s="2" t="n"/>
      <c r="J14" s="2" t="n">
        <v>7</v>
      </c>
      <c r="K14" s="2" t="n">
        <v>0</v>
      </c>
      <c r="L14" s="2" t="n">
        <v>516</v>
      </c>
      <c r="M14" s="2" t="inlineStr">
        <is>
          <t>Pump Service scheduled or reactive task 013</t>
        </is>
      </c>
    </row>
    <row r="15">
      <c r="A15" s="2" t="inlineStr">
        <is>
          <t>WO-2026-0014</t>
        </is>
      </c>
      <c r="B15" s="2" t="inlineStr">
        <is>
          <t>Changi Workshop</t>
        </is>
      </c>
      <c r="C15" s="2" t="inlineStr">
        <is>
          <t>Pump Service</t>
        </is>
      </c>
      <c r="D15" s="2" t="inlineStr">
        <is>
          <t>Medium</t>
        </is>
      </c>
      <c r="E15" s="2" t="inlineStr">
        <is>
          <t>Assigned</t>
        </is>
      </c>
      <c r="F15" s="2" t="inlineStr">
        <is>
          <t>Farid Rahman</t>
        </is>
      </c>
      <c r="G15" s="6" t="n">
        <v>46277</v>
      </c>
      <c r="H15" s="6" t="n">
        <v>46287</v>
      </c>
      <c r="I15" s="2" t="n"/>
      <c r="J15" s="2" t="n">
        <v>8</v>
      </c>
      <c r="K15" s="2" t="n">
        <v>0</v>
      </c>
      <c r="L15" s="2" t="n">
        <v>90</v>
      </c>
      <c r="M15" s="2" t="inlineStr">
        <is>
          <t>Pump Service scheduled or reactive task 014</t>
        </is>
      </c>
    </row>
    <row r="16">
      <c r="A16" s="2" t="inlineStr">
        <is>
          <t>WO-2026-0015</t>
        </is>
      </c>
      <c r="B16" s="2" t="inlineStr">
        <is>
          <t>Changi Workshop</t>
        </is>
      </c>
      <c r="C16" s="2" t="inlineStr">
        <is>
          <t>Pump Service</t>
        </is>
      </c>
      <c r="D16" s="2" t="inlineStr">
        <is>
          <t>High</t>
        </is>
      </c>
      <c r="E16" s="2" t="inlineStr">
        <is>
          <t>In Progress</t>
        </is>
      </c>
      <c r="F16" s="2" t="inlineStr">
        <is>
          <t>Grace Ng</t>
        </is>
      </c>
      <c r="G16" s="6" t="n">
        <v>46276</v>
      </c>
      <c r="H16" s="6" t="n">
        <v>46287</v>
      </c>
      <c r="I16" s="2" t="n"/>
      <c r="J16" s="2" t="n">
        <v>2</v>
      </c>
      <c r="K16" s="2" t="n">
        <v>0</v>
      </c>
      <c r="L16" s="2" t="n">
        <v>125.5</v>
      </c>
      <c r="M16" s="2" t="inlineStr">
        <is>
          <t>Pump Service scheduled or reactive task 015</t>
        </is>
      </c>
    </row>
    <row r="17">
      <c r="A17" s="2" t="inlineStr">
        <is>
          <t>WO-2026-0016</t>
        </is>
      </c>
      <c r="B17" s="2" t="inlineStr">
        <is>
          <t>Woodlands Hub</t>
        </is>
      </c>
      <c r="C17" s="2" t="inlineStr">
        <is>
          <t>Pump Service</t>
        </is>
      </c>
      <c r="D17" s="2" t="inlineStr">
        <is>
          <t>Critical</t>
        </is>
      </c>
      <c r="E17" s="2" t="inlineStr">
        <is>
          <t>Closed</t>
        </is>
      </c>
      <c r="F17" s="2" t="inlineStr">
        <is>
          <t>Hari Kumar</t>
        </is>
      </c>
      <c r="G17" s="6" t="n">
        <v>46275</v>
      </c>
      <c r="H17" s="6" t="n">
        <v>46287</v>
      </c>
      <c r="I17" s="6" t="n">
        <v>46288</v>
      </c>
      <c r="J17" s="2" t="n">
        <v>3</v>
      </c>
      <c r="K17" s="2" t="n">
        <v>7</v>
      </c>
      <c r="L17" s="2" t="n">
        <v>161</v>
      </c>
      <c r="M17" s="2" t="inlineStr">
        <is>
          <t>Pump Service scheduled or reactive task 016</t>
        </is>
      </c>
    </row>
    <row r="18">
      <c r="A18" s="2" t="inlineStr">
        <is>
          <t>WO-2026-0017</t>
        </is>
      </c>
      <c r="B18" s="2" t="inlineStr">
        <is>
          <t>Woodlands Hub</t>
        </is>
      </c>
      <c r="C18" s="2" t="inlineStr">
        <is>
          <t>Meter Service</t>
        </is>
      </c>
      <c r="D18" s="2" t="inlineStr">
        <is>
          <t>Low</t>
        </is>
      </c>
      <c r="E18" s="2" t="inlineStr">
        <is>
          <t>Closed</t>
        </is>
      </c>
      <c r="F18" s="2" t="inlineStr">
        <is>
          <t>Aisha Tan</t>
        </is>
      </c>
      <c r="G18" s="6" t="n">
        <v>46274</v>
      </c>
      <c r="H18" s="6" t="n">
        <v>46287</v>
      </c>
      <c r="I18" s="6" t="n">
        <v>46288</v>
      </c>
      <c r="J18" s="2" t="n">
        <v>4</v>
      </c>
      <c r="K18" s="2" t="n">
        <v>8</v>
      </c>
      <c r="L18" s="2" t="n">
        <v>196.5</v>
      </c>
      <c r="M18" s="2" t="inlineStr">
        <is>
          <t>Meter Service scheduled or reactive task 017</t>
        </is>
      </c>
    </row>
    <row r="19">
      <c r="A19" s="2" t="inlineStr">
        <is>
          <t>WO-2026-0018</t>
        </is>
      </c>
      <c r="B19" s="2" t="inlineStr">
        <is>
          <t>Woodlands Hub</t>
        </is>
      </c>
      <c r="C19" s="2" t="inlineStr">
        <is>
          <t>Meter Service</t>
        </is>
      </c>
      <c r="D19" s="2" t="inlineStr">
        <is>
          <t>Medium</t>
        </is>
      </c>
      <c r="E19" s="2" t="inlineStr">
        <is>
          <t>Assigned</t>
        </is>
      </c>
      <c r="F19" s="2" t="inlineStr">
        <is>
          <t>Ben Lim</t>
        </is>
      </c>
      <c r="G19" s="6" t="n">
        <v>46273</v>
      </c>
      <c r="H19" s="6" t="n">
        <v>46287</v>
      </c>
      <c r="I19" s="2" t="n"/>
      <c r="J19" s="2" t="n">
        <v>5</v>
      </c>
      <c r="K19" s="2" t="n">
        <v>0</v>
      </c>
      <c r="L19" s="2" t="n">
        <v>232</v>
      </c>
      <c r="M19" s="2" t="inlineStr">
        <is>
          <t>Meter Service scheduled or reactive task 018</t>
        </is>
      </c>
    </row>
    <row r="20">
      <c r="A20" s="2" t="inlineStr">
        <is>
          <t>WO-2026-0019</t>
        </is>
      </c>
      <c r="B20" s="2" t="inlineStr">
        <is>
          <t>Jurong Depot</t>
        </is>
      </c>
      <c r="C20" s="2" t="inlineStr">
        <is>
          <t>Meter Service</t>
        </is>
      </c>
      <c r="D20" s="2" t="inlineStr">
        <is>
          <t>High</t>
        </is>
      </c>
      <c r="E20" s="2" t="inlineStr">
        <is>
          <t>In Progress</t>
        </is>
      </c>
      <c r="F20" s="2" t="inlineStr">
        <is>
          <t>Chloe Goh</t>
        </is>
      </c>
      <c r="G20" s="6" t="n">
        <v>46272</v>
      </c>
      <c r="H20" s="6" t="n">
        <v>46287</v>
      </c>
      <c r="I20" s="2" t="n"/>
      <c r="J20" s="2" t="n">
        <v>6</v>
      </c>
      <c r="K20" s="2" t="n">
        <v>0</v>
      </c>
      <c r="L20" s="2" t="n">
        <v>267.5</v>
      </c>
      <c r="M20" s="2" t="inlineStr">
        <is>
          <t>Meter Service scheduled or reactive task 019</t>
        </is>
      </c>
    </row>
    <row r="21">
      <c r="A21" s="2" t="inlineStr">
        <is>
          <t>WO-2026-0020</t>
        </is>
      </c>
      <c r="B21" s="2" t="inlineStr">
        <is>
          <t>Jurong Depot</t>
        </is>
      </c>
      <c r="C21" s="2" t="inlineStr">
        <is>
          <t>Meter Service</t>
        </is>
      </c>
      <c r="D21" s="2" t="inlineStr">
        <is>
          <t>Critical</t>
        </is>
      </c>
      <c r="E21" s="2" t="inlineStr">
        <is>
          <t>Cancelled</t>
        </is>
      </c>
      <c r="F21" s="2" t="inlineStr">
        <is>
          <t>Daniel Lee</t>
        </is>
      </c>
      <c r="G21" s="6" t="n">
        <v>46271</v>
      </c>
      <c r="H21" s="6" t="n">
        <v>46287</v>
      </c>
      <c r="I21" s="2" t="n"/>
      <c r="J21" s="2" t="n">
        <v>7</v>
      </c>
      <c r="K21" s="2" t="n">
        <v>0</v>
      </c>
      <c r="L21" s="2" t="n">
        <v>303</v>
      </c>
      <c r="M21" s="2" t="inlineStr">
        <is>
          <t>Meter Service scheduled or reactive task 020</t>
        </is>
      </c>
    </row>
    <row r="22">
      <c r="A22" s="2" t="inlineStr">
        <is>
          <t>WO-2026-0021</t>
        </is>
      </c>
      <c r="B22" s="2" t="inlineStr">
        <is>
          <t>Jurong Depot</t>
        </is>
      </c>
      <c r="C22" s="2" t="inlineStr">
        <is>
          <t>Leak Repair</t>
        </is>
      </c>
      <c r="D22" s="2" t="inlineStr">
        <is>
          <t>Low</t>
        </is>
      </c>
      <c r="E22" s="2" t="inlineStr">
        <is>
          <t>Closed</t>
        </is>
      </c>
      <c r="F22" s="2" t="inlineStr">
        <is>
          <t>Elena Ong</t>
        </is>
      </c>
      <c r="G22" s="6" t="n">
        <v>46270</v>
      </c>
      <c r="H22" s="6" t="n">
        <v>46277</v>
      </c>
      <c r="I22" s="6" t="n">
        <v>46279</v>
      </c>
      <c r="J22" s="2" t="n">
        <v>8</v>
      </c>
      <c r="K22" s="2" t="n">
        <v>3</v>
      </c>
      <c r="L22" s="2" t="n">
        <v>338.5</v>
      </c>
      <c r="M22" s="2" t="inlineStr">
        <is>
          <t>Leak Repair scheduled or reactive task 021</t>
        </is>
      </c>
    </row>
    <row r="23">
      <c r="A23" s="2" t="inlineStr">
        <is>
          <t>WO-2026-0022</t>
        </is>
      </c>
      <c r="B23" s="2" t="inlineStr">
        <is>
          <t>Tampines Centre</t>
        </is>
      </c>
      <c r="C23" s="2" t="inlineStr">
        <is>
          <t>Leak Repair</t>
        </is>
      </c>
      <c r="D23" s="2" t="inlineStr">
        <is>
          <t>Medium</t>
        </is>
      </c>
      <c r="E23" s="2" t="inlineStr">
        <is>
          <t>Closed</t>
        </is>
      </c>
      <c r="F23" s="2" t="inlineStr">
        <is>
          <t>Farid Rahman</t>
        </is>
      </c>
      <c r="G23" s="6" t="n">
        <v>46269</v>
      </c>
      <c r="H23" s="6" t="n">
        <v>46277</v>
      </c>
      <c r="I23" s="6" t="n">
        <v>46279</v>
      </c>
      <c r="J23" s="2" t="n">
        <v>2</v>
      </c>
      <c r="K23" s="2" t="n">
        <v>4</v>
      </c>
      <c r="L23" s="2" t="n">
        <v>374</v>
      </c>
      <c r="M23" s="2" t="inlineStr">
        <is>
          <t>Leak Repair scheduled or reactive task 022</t>
        </is>
      </c>
    </row>
    <row r="24">
      <c r="A24" s="2" t="inlineStr">
        <is>
          <t>WO-2026-0023</t>
        </is>
      </c>
      <c r="B24" s="2" t="inlineStr">
        <is>
          <t>Tampines Centre</t>
        </is>
      </c>
      <c r="C24" s="2" t="inlineStr">
        <is>
          <t>Leak Repair</t>
        </is>
      </c>
      <c r="D24" s="2" t="inlineStr">
        <is>
          <t>High</t>
        </is>
      </c>
      <c r="E24" s="2" t="inlineStr">
        <is>
          <t>In Progress</t>
        </is>
      </c>
      <c r="F24" s="2" t="inlineStr">
        <is>
          <t>Grace Ng</t>
        </is>
      </c>
      <c r="G24" s="6" t="n">
        <v>46268</v>
      </c>
      <c r="H24" s="6" t="n">
        <v>46277</v>
      </c>
      <c r="I24" s="2" t="n"/>
      <c r="J24" s="2" t="n">
        <v>3</v>
      </c>
      <c r="K24" s="2" t="n">
        <v>0</v>
      </c>
      <c r="L24" s="2" t="n">
        <v>409.5</v>
      </c>
      <c r="M24" s="2" t="inlineStr">
        <is>
          <t>Leak Repair scheduled or reactive task 023</t>
        </is>
      </c>
    </row>
    <row r="25">
      <c r="A25" s="2" t="inlineStr">
        <is>
          <t>WO-2026-0024</t>
        </is>
      </c>
      <c r="B25" s="2" t="inlineStr">
        <is>
          <t>Tampines Centre</t>
        </is>
      </c>
      <c r="C25" s="2" t="inlineStr">
        <is>
          <t>Leak Repair</t>
        </is>
      </c>
      <c r="D25" s="2" t="inlineStr">
        <is>
          <t>Critical</t>
        </is>
      </c>
      <c r="E25" s="2" t="inlineStr">
        <is>
          <t>On Hold</t>
        </is>
      </c>
      <c r="F25" s="2" t="inlineStr">
        <is>
          <t>Hari Kumar</t>
        </is>
      </c>
      <c r="G25" s="6" t="n">
        <v>46267</v>
      </c>
      <c r="H25" s="6" t="n">
        <v>46277</v>
      </c>
      <c r="I25" s="2" t="n"/>
      <c r="J25" s="2" t="n">
        <v>4</v>
      </c>
      <c r="K25" s="2" t="n">
        <v>0</v>
      </c>
      <c r="L25" s="2" t="n">
        <v>445</v>
      </c>
      <c r="M25" s="2" t="inlineStr">
        <is>
          <t>Leak Repair scheduled or reactive task 024</t>
        </is>
      </c>
    </row>
    <row r="26">
      <c r="A26" s="2" t="inlineStr">
        <is>
          <t>WO-2026-0025</t>
        </is>
      </c>
      <c r="B26" s="2" t="inlineStr">
        <is>
          <t>Paya Lebar Office</t>
        </is>
      </c>
      <c r="C26" s="2" t="inlineStr">
        <is>
          <t>Valve Repair</t>
        </is>
      </c>
      <c r="D26" s="2" t="inlineStr">
        <is>
          <t>Low</t>
        </is>
      </c>
      <c r="E26" s="2" t="inlineStr">
        <is>
          <t>New</t>
        </is>
      </c>
      <c r="F26" s="2" t="n"/>
      <c r="G26" s="6" t="n">
        <v>46266</v>
      </c>
      <c r="H26" s="6" t="n">
        <v>46277</v>
      </c>
      <c r="I26" s="2" t="n"/>
      <c r="J26" s="2" t="n">
        <v>5</v>
      </c>
      <c r="K26" s="2" t="n">
        <v>0</v>
      </c>
      <c r="L26" s="2" t="n">
        <v>480.5</v>
      </c>
      <c r="M26" s="2" t="inlineStr">
        <is>
          <t>Valve Repair scheduled or reactive task 025</t>
        </is>
      </c>
    </row>
    <row r="27">
      <c r="A27" s="2" t="inlineStr">
        <is>
          <t>WO-2026-0026</t>
        </is>
      </c>
      <c r="B27" s="2" t="inlineStr">
        <is>
          <t>Paya Lebar Office</t>
        </is>
      </c>
      <c r="C27" s="2" t="inlineStr">
        <is>
          <t>Valve Repair</t>
        </is>
      </c>
      <c r="D27" s="2" t="inlineStr">
        <is>
          <t>Medium</t>
        </is>
      </c>
      <c r="E27" s="2" t="inlineStr">
        <is>
          <t>Closed</t>
        </is>
      </c>
      <c r="F27" s="2" t="inlineStr">
        <is>
          <t>Ben Lim</t>
        </is>
      </c>
      <c r="G27" s="6" t="n">
        <v>46265</v>
      </c>
      <c r="H27" s="6" t="n">
        <v>46277</v>
      </c>
      <c r="I27" s="6" t="n">
        <v>46275</v>
      </c>
      <c r="J27" s="2" t="n">
        <v>6</v>
      </c>
      <c r="K27" s="2" t="n">
        <v>8</v>
      </c>
      <c r="L27" s="2" t="n">
        <v>516</v>
      </c>
      <c r="M27" s="2" t="inlineStr">
        <is>
          <t>Valve Repair scheduled or reactive task 026</t>
        </is>
      </c>
    </row>
    <row r="28">
      <c r="A28" s="2" t="inlineStr">
        <is>
          <t>WO-2026-0027</t>
        </is>
      </c>
      <c r="B28" s="2" t="inlineStr">
        <is>
          <t>Paya Lebar Office</t>
        </is>
      </c>
      <c r="C28" s="2" t="inlineStr">
        <is>
          <t>Valve Repair</t>
        </is>
      </c>
      <c r="D28" s="2" t="inlineStr">
        <is>
          <t>High</t>
        </is>
      </c>
      <c r="E28" s="2" t="inlineStr">
        <is>
          <t>Closed</t>
        </is>
      </c>
      <c r="F28" s="2" t="inlineStr">
        <is>
          <t>Chloe Goh</t>
        </is>
      </c>
      <c r="G28" s="6" t="n">
        <v>46264</v>
      </c>
      <c r="H28" s="6" t="n">
        <v>46277</v>
      </c>
      <c r="I28" s="6" t="n">
        <v>46275</v>
      </c>
      <c r="J28" s="2" t="n">
        <v>7</v>
      </c>
      <c r="K28" s="2" t="n">
        <v>9</v>
      </c>
      <c r="L28" s="2" t="n">
        <v>90</v>
      </c>
      <c r="M28" s="2" t="inlineStr">
        <is>
          <t>Valve Repair scheduled or reactive task 027</t>
        </is>
      </c>
    </row>
    <row r="29">
      <c r="A29" s="2" t="inlineStr">
        <is>
          <t>WO-2026-0028</t>
        </is>
      </c>
      <c r="B29" s="2" t="inlineStr">
        <is>
          <t>Changi Workshop</t>
        </is>
      </c>
      <c r="C29" s="2" t="inlineStr">
        <is>
          <t>Valve Repair</t>
        </is>
      </c>
      <c r="D29" s="2" t="inlineStr">
        <is>
          <t>Critical</t>
        </is>
      </c>
      <c r="E29" s="2" t="inlineStr">
        <is>
          <t>On Hold</t>
        </is>
      </c>
      <c r="F29" s="2" t="inlineStr">
        <is>
          <t>Daniel Lee</t>
        </is>
      </c>
      <c r="G29" s="6" t="n">
        <v>46263</v>
      </c>
      <c r="H29" s="6" t="n">
        <v>46277</v>
      </c>
      <c r="I29" s="2" t="n"/>
      <c r="J29" s="2" t="n">
        <v>8</v>
      </c>
      <c r="K29" s="2" t="n">
        <v>0</v>
      </c>
      <c r="L29" s="2" t="n">
        <v>125.5</v>
      </c>
      <c r="M29" s="2" t="inlineStr">
        <is>
          <t>Valve Repair scheduled or reactive task 028</t>
        </is>
      </c>
    </row>
    <row r="30">
      <c r="A30" s="2" t="inlineStr">
        <is>
          <t>WO-2026-0029</t>
        </is>
      </c>
      <c r="B30" s="2" t="inlineStr">
        <is>
          <t>Changi Workshop</t>
        </is>
      </c>
      <c r="C30" s="2" t="inlineStr">
        <is>
          <t>Pipe Replacement</t>
        </is>
      </c>
      <c r="D30" s="2" t="inlineStr">
        <is>
          <t>Low</t>
        </is>
      </c>
      <c r="E30" s="2" t="inlineStr">
        <is>
          <t>New</t>
        </is>
      </c>
      <c r="F30" s="2" t="inlineStr">
        <is>
          <t>Elena Ong</t>
        </is>
      </c>
      <c r="G30" s="6" t="n">
        <v>46262</v>
      </c>
      <c r="H30" s="6" t="n">
        <v>46277</v>
      </c>
      <c r="I30" s="2" t="n"/>
      <c r="J30" s="2" t="n">
        <v>2</v>
      </c>
      <c r="K30" s="2" t="n">
        <v>0</v>
      </c>
      <c r="L30" s="2" t="n">
        <v>161</v>
      </c>
      <c r="M30" s="2" t="inlineStr">
        <is>
          <t>Pipe Replacement scheduled or reactive task 029</t>
        </is>
      </c>
    </row>
    <row r="31">
      <c r="A31" s="2" t="inlineStr">
        <is>
          <t>WO-2026-0030</t>
        </is>
      </c>
      <c r="B31" s="2" t="inlineStr">
        <is>
          <t>Changi Workshop</t>
        </is>
      </c>
      <c r="C31" s="2" t="inlineStr">
        <is>
          <t>Pipe Replacement</t>
        </is>
      </c>
      <c r="D31" s="2" t="inlineStr">
        <is>
          <t>Medium</t>
        </is>
      </c>
      <c r="E31" s="2" t="inlineStr">
        <is>
          <t>Cancelled</t>
        </is>
      </c>
      <c r="F31" s="2" t="inlineStr">
        <is>
          <t>Farid Rahman</t>
        </is>
      </c>
      <c r="G31" s="6" t="n">
        <v>46261</v>
      </c>
      <c r="H31" s="6" t="n">
        <v>46277</v>
      </c>
      <c r="I31" s="2" t="n"/>
      <c r="J31" s="2" t="n">
        <v>3</v>
      </c>
      <c r="K31" s="2" t="n">
        <v>0</v>
      </c>
      <c r="L31" s="2" t="n">
        <v>196.5</v>
      </c>
      <c r="M31" s="2" t="inlineStr">
        <is>
          <t>Pipe Replacement scheduled or reactive task 030</t>
        </is>
      </c>
    </row>
    <row r="32">
      <c r="A32" s="2" t="inlineStr">
        <is>
          <t>WO-2026-0031</t>
        </is>
      </c>
      <c r="B32" s="2" t="inlineStr">
        <is>
          <t>Woodlands Hub</t>
        </is>
      </c>
      <c r="C32" s="2" t="inlineStr">
        <is>
          <t>Pipe Replacement</t>
        </is>
      </c>
      <c r="D32" s="2" t="inlineStr">
        <is>
          <t>High</t>
        </is>
      </c>
      <c r="E32" s="2" t="inlineStr">
        <is>
          <t>Closed</t>
        </is>
      </c>
      <c r="F32" s="2" t="inlineStr">
        <is>
          <t>Grace Ng</t>
        </is>
      </c>
      <c r="G32" s="6" t="n">
        <v>46260</v>
      </c>
      <c r="H32" s="6" t="n">
        <v>46267</v>
      </c>
      <c r="I32" s="6" t="n">
        <v>46266</v>
      </c>
      <c r="J32" s="2" t="n">
        <v>4</v>
      </c>
      <c r="K32" s="2" t="n">
        <v>4</v>
      </c>
      <c r="L32" s="2" t="n">
        <v>232</v>
      </c>
      <c r="M32" s="2" t="inlineStr">
        <is>
          <t>Pipe Replacement scheduled or reactive task 031</t>
        </is>
      </c>
    </row>
    <row r="33">
      <c r="A33" s="2" t="inlineStr">
        <is>
          <t>WO-2026-0032</t>
        </is>
      </c>
      <c r="B33" s="2" t="inlineStr">
        <is>
          <t>Woodlands Hub</t>
        </is>
      </c>
      <c r="C33" s="2" t="inlineStr">
        <is>
          <t>Pipe Replacement</t>
        </is>
      </c>
      <c r="D33" s="2" t="inlineStr">
        <is>
          <t>Critical</t>
        </is>
      </c>
      <c r="E33" s="2" t="inlineStr">
        <is>
          <t>Closed</t>
        </is>
      </c>
      <c r="F33" s="2" t="inlineStr">
        <is>
          <t>Hari Kumar</t>
        </is>
      </c>
      <c r="G33" s="6" t="n">
        <v>46259</v>
      </c>
      <c r="H33" s="6" t="n">
        <v>46267</v>
      </c>
      <c r="I33" s="6" t="n">
        <v>46266</v>
      </c>
      <c r="J33" s="2" t="n">
        <v>5</v>
      </c>
      <c r="K33" s="2" t="n">
        <v>5</v>
      </c>
      <c r="L33" s="2" t="n">
        <v>267.5</v>
      </c>
      <c r="M33" s="2" t="inlineStr">
        <is>
          <t>Pipe Replacement scheduled or reactive task 032</t>
        </is>
      </c>
    </row>
    <row r="34">
      <c r="A34" s="2" t="inlineStr">
        <is>
          <t>WO-2026-0033</t>
        </is>
      </c>
      <c r="B34" s="2" t="inlineStr">
        <is>
          <t>Woodlands Hub</t>
        </is>
      </c>
      <c r="C34" s="2" t="inlineStr">
        <is>
          <t>Pump Service</t>
        </is>
      </c>
      <c r="D34" s="2" t="inlineStr">
        <is>
          <t>Low</t>
        </is>
      </c>
      <c r="E34" s="2" t="inlineStr">
        <is>
          <t>New</t>
        </is>
      </c>
      <c r="F34" s="2" t="inlineStr">
        <is>
          <t>Aisha Tan</t>
        </is>
      </c>
      <c r="G34" s="6" t="n">
        <v>46258</v>
      </c>
      <c r="H34" s="6" t="n">
        <v>46267</v>
      </c>
      <c r="I34" s="2" t="n"/>
      <c r="J34" s="2" t="n">
        <v>6</v>
      </c>
      <c r="K34" s="2" t="n">
        <v>0</v>
      </c>
      <c r="L34" s="2" t="n">
        <v>303</v>
      </c>
      <c r="M34" s="2" t="inlineStr">
        <is>
          <t>Pump Service scheduled or reactive task 033</t>
        </is>
      </c>
    </row>
    <row r="35">
      <c r="A35" s="2" t="inlineStr">
        <is>
          <t>WO-2026-0034</t>
        </is>
      </c>
      <c r="B35" s="2" t="inlineStr">
        <is>
          <t>Jurong Depot</t>
        </is>
      </c>
      <c r="C35" s="2" t="inlineStr">
        <is>
          <t>Pump Service</t>
        </is>
      </c>
      <c r="D35" s="2" t="inlineStr">
        <is>
          <t>Medium</t>
        </is>
      </c>
      <c r="E35" s="2" t="inlineStr">
        <is>
          <t>Assigned</t>
        </is>
      </c>
      <c r="F35" s="2" t="inlineStr">
        <is>
          <t>Ben Lim</t>
        </is>
      </c>
      <c r="G35" s="6" t="n">
        <v>46257</v>
      </c>
      <c r="H35" s="6" t="n">
        <v>46267</v>
      </c>
      <c r="I35" s="2" t="n"/>
      <c r="J35" s="2" t="n">
        <v>7</v>
      </c>
      <c r="K35" s="2" t="n">
        <v>0</v>
      </c>
      <c r="L35" s="2" t="n">
        <v>338.5</v>
      </c>
      <c r="M35" s="2" t="inlineStr">
        <is>
          <t>Pump Service scheduled or reactive task 034</t>
        </is>
      </c>
    </row>
    <row r="36">
      <c r="A36" s="2" t="inlineStr">
        <is>
          <t>WO-2026-0035</t>
        </is>
      </c>
      <c r="B36" s="2" t="inlineStr">
        <is>
          <t>Jurong Depot</t>
        </is>
      </c>
      <c r="C36" s="2" t="inlineStr">
        <is>
          <t>Pump Service</t>
        </is>
      </c>
      <c r="D36" s="2" t="inlineStr">
        <is>
          <t>High</t>
        </is>
      </c>
      <c r="E36" s="2" t="inlineStr">
        <is>
          <t>In Progress</t>
        </is>
      </c>
      <c r="F36" s="2" t="inlineStr">
        <is>
          <t>Chloe Goh</t>
        </is>
      </c>
      <c r="G36" s="6" t="n">
        <v>46256</v>
      </c>
      <c r="H36" s="6" t="n">
        <v>46267</v>
      </c>
      <c r="I36" s="2" t="n"/>
      <c r="J36" s="2" t="n">
        <v>8</v>
      </c>
      <c r="K36" s="2" t="n">
        <v>0</v>
      </c>
      <c r="L36" s="2" t="n">
        <v>374</v>
      </c>
      <c r="M36" s="2" t="inlineStr">
        <is>
          <t>Pump Service scheduled or reactive task 035</t>
        </is>
      </c>
    </row>
    <row r="37">
      <c r="A37" s="2" t="inlineStr">
        <is>
          <t>WO-2026-0036</t>
        </is>
      </c>
      <c r="B37" s="2" t="inlineStr">
        <is>
          <t>Jurong Depot</t>
        </is>
      </c>
      <c r="C37" s="2" t="inlineStr">
        <is>
          <t>Pump Service</t>
        </is>
      </c>
      <c r="D37" s="2" t="inlineStr">
        <is>
          <t>Critical</t>
        </is>
      </c>
      <c r="E37" s="2" t="inlineStr">
        <is>
          <t>Closed</t>
        </is>
      </c>
      <c r="F37" s="2" t="inlineStr">
        <is>
          <t>Daniel Lee</t>
        </is>
      </c>
      <c r="G37" s="6" t="n">
        <v>46255</v>
      </c>
      <c r="H37" s="6" t="n">
        <v>46267</v>
      </c>
      <c r="I37" s="6" t="n">
        <v>46267</v>
      </c>
      <c r="J37" s="2" t="n">
        <v>2</v>
      </c>
      <c r="K37" s="2" t="n">
        <v>9</v>
      </c>
      <c r="L37" s="2" t="n">
        <v>409.5</v>
      </c>
      <c r="M37" s="2" t="inlineStr">
        <is>
          <t>Pump Service scheduled or reactive task 036</t>
        </is>
      </c>
    </row>
    <row r="38">
      <c r="A38" s="2" t="inlineStr">
        <is>
          <t>WO-2026-0037</t>
        </is>
      </c>
      <c r="B38" s="2" t="inlineStr">
        <is>
          <t>Tampines Centre</t>
        </is>
      </c>
      <c r="C38" s="2" t="inlineStr">
        <is>
          <t>Meter Service</t>
        </is>
      </c>
      <c r="D38" s="2" t="inlineStr">
        <is>
          <t>Low</t>
        </is>
      </c>
      <c r="E38" s="2" t="inlineStr">
        <is>
          <t>Closed</t>
        </is>
      </c>
      <c r="F38" s="2" t="inlineStr">
        <is>
          <t>Elena Ong</t>
        </is>
      </c>
      <c r="G38" s="6" t="n">
        <v>46254</v>
      </c>
      <c r="H38" s="6" t="n">
        <v>46267</v>
      </c>
      <c r="I38" s="6" t="n">
        <v>46267</v>
      </c>
      <c r="J38" s="2" t="n">
        <v>3</v>
      </c>
      <c r="K38" s="2" t="n">
        <v>1</v>
      </c>
      <c r="L38" s="2" t="n">
        <v>445</v>
      </c>
      <c r="M38" s="2" t="inlineStr">
        <is>
          <t>Meter Service scheduled or reactive task 037</t>
        </is>
      </c>
    </row>
    <row r="39">
      <c r="A39" s="2" t="inlineStr">
        <is>
          <t>WO-2026-0038</t>
        </is>
      </c>
      <c r="B39" s="2" t="inlineStr">
        <is>
          <t>Tampines Centre</t>
        </is>
      </c>
      <c r="C39" s="2" t="inlineStr">
        <is>
          <t>Meter Service</t>
        </is>
      </c>
      <c r="D39" s="2" t="inlineStr">
        <is>
          <t>Medium</t>
        </is>
      </c>
      <c r="E39" s="2" t="inlineStr">
        <is>
          <t>Assigned</t>
        </is>
      </c>
      <c r="F39" s="2" t="inlineStr">
        <is>
          <t>Farid Rahman</t>
        </is>
      </c>
      <c r="G39" s="6" t="n">
        <v>46253</v>
      </c>
      <c r="H39" s="6" t="n">
        <v>46267</v>
      </c>
      <c r="I39" s="2" t="n"/>
      <c r="J39" s="2" t="n">
        <v>4</v>
      </c>
      <c r="K39" s="2" t="n">
        <v>0</v>
      </c>
      <c r="L39" s="2" t="n">
        <v>480.5</v>
      </c>
      <c r="M39" s="2" t="inlineStr">
        <is>
          <t>Meter Service scheduled or reactive task 038</t>
        </is>
      </c>
    </row>
    <row r="40">
      <c r="A40" s="2" t="inlineStr">
        <is>
          <t>WO-2026-0039</t>
        </is>
      </c>
      <c r="B40" s="2" t="inlineStr">
        <is>
          <t>Tampines Centre</t>
        </is>
      </c>
      <c r="C40" s="2" t="inlineStr">
        <is>
          <t>Meter Service</t>
        </is>
      </c>
      <c r="D40" s="2" t="inlineStr">
        <is>
          <t>High</t>
        </is>
      </c>
      <c r="E40" s="2" t="inlineStr">
        <is>
          <t>In Progress</t>
        </is>
      </c>
      <c r="F40" s="2" t="inlineStr">
        <is>
          <t>Grace Ng</t>
        </is>
      </c>
      <c r="G40" s="6" t="n">
        <v>46252</v>
      </c>
      <c r="H40" s="6" t="n">
        <v>46267</v>
      </c>
      <c r="I40" s="2" t="n"/>
      <c r="J40" s="2" t="n">
        <v>5</v>
      </c>
      <c r="K40" s="2" t="n">
        <v>0</v>
      </c>
      <c r="L40" s="2" t="n">
        <v>516</v>
      </c>
      <c r="M40" s="2" t="inlineStr">
        <is>
          <t>Meter Service scheduled or reactive task 039</t>
        </is>
      </c>
    </row>
    <row r="41">
      <c r="A41" s="2" t="inlineStr">
        <is>
          <t>WO-2026-0040</t>
        </is>
      </c>
      <c r="B41" s="2" t="inlineStr">
        <is>
          <t>Paya Lebar Office</t>
        </is>
      </c>
      <c r="C41" s="2" t="inlineStr">
        <is>
          <t>Meter Service</t>
        </is>
      </c>
      <c r="D41" s="2" t="inlineStr">
        <is>
          <t>Critical</t>
        </is>
      </c>
      <c r="E41" s="2" t="inlineStr">
        <is>
          <t>Cancelled</t>
        </is>
      </c>
      <c r="F41" s="2" t="inlineStr">
        <is>
          <t>Hari Kumar</t>
        </is>
      </c>
      <c r="G41" s="6" t="n">
        <v>46251</v>
      </c>
      <c r="H41" s="6" t="n">
        <v>46267</v>
      </c>
      <c r="I41" s="2" t="n"/>
      <c r="J41" s="2" t="n">
        <v>6</v>
      </c>
      <c r="K41" s="2" t="n">
        <v>0</v>
      </c>
      <c r="L41" s="2" t="n">
        <v>90</v>
      </c>
      <c r="M41" s="2" t="inlineStr">
        <is>
          <t>Meter Service scheduled or reactive task 040</t>
        </is>
      </c>
    </row>
    <row r="42">
      <c r="A42" s="2" t="inlineStr">
        <is>
          <t>WO-2026-0041</t>
        </is>
      </c>
      <c r="B42" s="2" t="inlineStr">
        <is>
          <t>Paya Lebar Office</t>
        </is>
      </c>
      <c r="C42" s="2" t="inlineStr">
        <is>
          <t>Leak Repair</t>
        </is>
      </c>
      <c r="D42" s="2" t="inlineStr">
        <is>
          <t>Low</t>
        </is>
      </c>
      <c r="E42" s="2" t="inlineStr">
        <is>
          <t>Closed</t>
        </is>
      </c>
      <c r="F42" s="2" t="inlineStr">
        <is>
          <t>Aisha Tan</t>
        </is>
      </c>
      <c r="G42" s="6" t="n">
        <v>46250</v>
      </c>
      <c r="H42" s="6" t="n">
        <v>46257</v>
      </c>
      <c r="I42" s="6" t="n">
        <v>46258</v>
      </c>
      <c r="J42" s="2" t="n">
        <v>7</v>
      </c>
      <c r="K42" s="2" t="n">
        <v>5</v>
      </c>
      <c r="L42" s="2" t="n">
        <v>125.5</v>
      </c>
      <c r="M42" s="2" t="inlineStr">
        <is>
          <t>Leak Repair scheduled or reactive task 041</t>
        </is>
      </c>
    </row>
    <row r="43">
      <c r="A43" s="2" t="inlineStr">
        <is>
          <t>WO-2026-0042</t>
        </is>
      </c>
      <c r="B43" s="2" t="inlineStr">
        <is>
          <t>Paya Lebar Office</t>
        </is>
      </c>
      <c r="C43" s="2" t="inlineStr">
        <is>
          <t>Leak Repair</t>
        </is>
      </c>
      <c r="D43" s="2" t="inlineStr">
        <is>
          <t>Medium</t>
        </is>
      </c>
      <c r="E43" s="2" t="inlineStr">
        <is>
          <t>Closed</t>
        </is>
      </c>
      <c r="F43" s="2" t="inlineStr">
        <is>
          <t>Ben Lim</t>
        </is>
      </c>
      <c r="G43" s="6" t="n">
        <v>46249</v>
      </c>
      <c r="H43" s="6" t="n">
        <v>46257</v>
      </c>
      <c r="I43" s="6" t="n">
        <v>46258</v>
      </c>
      <c r="J43" s="2" t="n">
        <v>8</v>
      </c>
      <c r="K43" s="2" t="n">
        <v>6</v>
      </c>
      <c r="L43" s="2" t="n">
        <v>161</v>
      </c>
      <c r="M43" s="2" t="inlineStr">
        <is>
          <t>Leak Repair scheduled or reactive task 042</t>
        </is>
      </c>
    </row>
    <row r="44">
      <c r="A44" s="2" t="inlineStr">
        <is>
          <t>WO-2026-0043</t>
        </is>
      </c>
      <c r="B44" s="2" t="inlineStr">
        <is>
          <t>Changi Workshop</t>
        </is>
      </c>
      <c r="C44" s="2" t="inlineStr">
        <is>
          <t>Leak Repair</t>
        </is>
      </c>
      <c r="D44" s="2" t="inlineStr">
        <is>
          <t>High</t>
        </is>
      </c>
      <c r="E44" s="2" t="inlineStr">
        <is>
          <t>In Progress</t>
        </is>
      </c>
      <c r="F44" s="2" t="inlineStr">
        <is>
          <t>Chloe Goh</t>
        </is>
      </c>
      <c r="G44" s="6" t="n">
        <v>46248</v>
      </c>
      <c r="H44" s="6" t="n">
        <v>46257</v>
      </c>
      <c r="I44" s="2" t="n"/>
      <c r="J44" s="2" t="n">
        <v>2</v>
      </c>
      <c r="K44" s="2" t="n">
        <v>0</v>
      </c>
      <c r="L44" s="2" t="n">
        <v>196.5</v>
      </c>
      <c r="M44" s="2" t="inlineStr">
        <is>
          <t>Leak Repair scheduled or reactive task 043</t>
        </is>
      </c>
    </row>
    <row r="45">
      <c r="A45" s="2" t="inlineStr">
        <is>
          <t>WO-2026-0044</t>
        </is>
      </c>
      <c r="B45" s="2" t="inlineStr">
        <is>
          <t>Changi Workshop</t>
        </is>
      </c>
      <c r="C45" s="2" t="inlineStr">
        <is>
          <t>Leak Repair</t>
        </is>
      </c>
      <c r="D45" s="2" t="inlineStr">
        <is>
          <t>Critical</t>
        </is>
      </c>
      <c r="E45" s="2" t="inlineStr">
        <is>
          <t>On Hold</t>
        </is>
      </c>
      <c r="F45" s="2" t="inlineStr">
        <is>
          <t>Daniel Lee</t>
        </is>
      </c>
      <c r="G45" s="6" t="n">
        <v>46247</v>
      </c>
      <c r="H45" s="6" t="n">
        <v>46257</v>
      </c>
      <c r="I45" s="2" t="n"/>
      <c r="J45" s="2" t="n">
        <v>3</v>
      </c>
      <c r="K45" s="2" t="n">
        <v>0</v>
      </c>
      <c r="L45" s="2" t="n">
        <v>232</v>
      </c>
      <c r="M45" s="2" t="inlineStr">
        <is>
          <t>Leak Repair scheduled or reactive task 044</t>
        </is>
      </c>
    </row>
    <row r="46">
      <c r="A46" s="2" t="inlineStr">
        <is>
          <t>WO-2026-0045</t>
        </is>
      </c>
      <c r="B46" s="2" t="inlineStr">
        <is>
          <t>Changi Workshop</t>
        </is>
      </c>
      <c r="C46" s="2" t="inlineStr">
        <is>
          <t>Valve Repair</t>
        </is>
      </c>
      <c r="D46" s="2" t="inlineStr">
        <is>
          <t>Low</t>
        </is>
      </c>
      <c r="E46" s="2" t="inlineStr">
        <is>
          <t>New</t>
        </is>
      </c>
      <c r="F46" s="2" t="inlineStr">
        <is>
          <t>Elena Ong</t>
        </is>
      </c>
      <c r="G46" s="6" t="n">
        <v>46246</v>
      </c>
      <c r="H46" s="6" t="n">
        <v>46257</v>
      </c>
      <c r="I46" s="2" t="n"/>
      <c r="J46" s="2" t="n">
        <v>4</v>
      </c>
      <c r="K46" s="2" t="n">
        <v>0</v>
      </c>
      <c r="L46" s="2" t="n">
        <v>267.5</v>
      </c>
      <c r="M46" s="2" t="inlineStr">
        <is>
          <t>Valve Repair scheduled or reactive task 045</t>
        </is>
      </c>
    </row>
    <row r="47">
      <c r="A47" s="2" t="inlineStr">
        <is>
          <t>WO-2026-0046</t>
        </is>
      </c>
      <c r="B47" s="2" t="inlineStr">
        <is>
          <t>Woodlands Hub</t>
        </is>
      </c>
      <c r="C47" s="2" t="inlineStr">
        <is>
          <t>Valve Repair</t>
        </is>
      </c>
      <c r="D47" s="2" t="inlineStr">
        <is>
          <t>Medium</t>
        </is>
      </c>
      <c r="E47" s="2" t="inlineStr">
        <is>
          <t>Closed</t>
        </is>
      </c>
      <c r="F47" s="2" t="inlineStr">
        <is>
          <t>Farid Rahman</t>
        </is>
      </c>
      <c r="G47" s="6" t="n">
        <v>46245</v>
      </c>
      <c r="H47" s="6" t="n">
        <v>46257</v>
      </c>
      <c r="I47" s="6" t="n">
        <v>46259</v>
      </c>
      <c r="J47" s="2" t="n">
        <v>5</v>
      </c>
      <c r="K47" s="2" t="n">
        <v>1</v>
      </c>
      <c r="L47" s="2" t="n">
        <v>303</v>
      </c>
      <c r="M47" s="2" t="inlineStr">
        <is>
          <t>Valve Repair scheduled or reactive task 046</t>
        </is>
      </c>
    </row>
    <row r="48">
      <c r="A48" s="2" t="inlineStr">
        <is>
          <t>WO-2026-0047</t>
        </is>
      </c>
      <c r="B48" s="2" t="inlineStr">
        <is>
          <t>Woodlands Hub</t>
        </is>
      </c>
      <c r="C48" s="2" t="inlineStr">
        <is>
          <t>Valve Repair</t>
        </is>
      </c>
      <c r="D48" s="2" t="inlineStr">
        <is>
          <t>High</t>
        </is>
      </c>
      <c r="E48" s="2" t="inlineStr">
        <is>
          <t>Closed</t>
        </is>
      </c>
      <c r="F48" s="2" t="inlineStr">
        <is>
          <t>Grace Ng</t>
        </is>
      </c>
      <c r="G48" s="6" t="n">
        <v>46244</v>
      </c>
      <c r="H48" s="6" t="n">
        <v>46257</v>
      </c>
      <c r="I48" s="6" t="n">
        <v>46259</v>
      </c>
      <c r="J48" s="2" t="n">
        <v>6</v>
      </c>
      <c r="K48" s="2" t="n">
        <v>2</v>
      </c>
      <c r="L48" s="2" t="n">
        <v>338.5</v>
      </c>
      <c r="M48" s="2" t="inlineStr">
        <is>
          <t>Valve Repair scheduled or reactive task 047</t>
        </is>
      </c>
    </row>
    <row r="49">
      <c r="A49" s="2" t="inlineStr">
        <is>
          <t>WO-2026-0048</t>
        </is>
      </c>
      <c r="B49" s="2" t="inlineStr">
        <is>
          <t>Woodlands Hub</t>
        </is>
      </c>
      <c r="C49" s="2" t="inlineStr">
        <is>
          <t>Valve Repair</t>
        </is>
      </c>
      <c r="D49" s="2" t="inlineStr">
        <is>
          <t>Critical</t>
        </is>
      </c>
      <c r="E49" s="2" t="inlineStr">
        <is>
          <t>On Hold</t>
        </is>
      </c>
      <c r="F49" s="2" t="inlineStr">
        <is>
          <t>Hari Kumar</t>
        </is>
      </c>
      <c r="G49" s="6" t="n">
        <v>46243</v>
      </c>
      <c r="H49" s="6" t="n">
        <v>46257</v>
      </c>
      <c r="I49" s="2" t="n"/>
      <c r="J49" s="2" t="n">
        <v>7</v>
      </c>
      <c r="K49" s="2" t="n">
        <v>0</v>
      </c>
      <c r="L49" s="2" t="n">
        <v>374</v>
      </c>
      <c r="M49" s="2" t="inlineStr">
        <is>
          <t>Valve Repair scheduled or reactive task 048</t>
        </is>
      </c>
    </row>
    <row r="50">
      <c r="A50" s="2" t="inlineStr">
        <is>
          <t>WO-2026-0049</t>
        </is>
      </c>
      <c r="B50" s="2" t="inlineStr">
        <is>
          <t>Jurong Depot</t>
        </is>
      </c>
      <c r="C50" s="2" t="inlineStr">
        <is>
          <t>Pipe Replacement</t>
        </is>
      </c>
      <c r="D50" s="2" t="inlineStr">
        <is>
          <t>Low</t>
        </is>
      </c>
      <c r="E50" s="2" t="inlineStr">
        <is>
          <t>New</t>
        </is>
      </c>
      <c r="F50" s="2" t="n"/>
      <c r="G50" s="6" t="n">
        <v>46242</v>
      </c>
      <c r="H50" s="6" t="n">
        <v>46257</v>
      </c>
      <c r="I50" s="2" t="n"/>
      <c r="J50" s="2" t="n">
        <v>8</v>
      </c>
      <c r="K50" s="2" t="n">
        <v>0</v>
      </c>
      <c r="L50" s="2" t="n">
        <v>409.5</v>
      </c>
      <c r="M50" s="2" t="inlineStr">
        <is>
          <t>Pipe Replacement scheduled or reactive task 049</t>
        </is>
      </c>
    </row>
    <row r="51">
      <c r="A51" s="2" t="inlineStr">
        <is>
          <t>WO-2026-0050</t>
        </is>
      </c>
      <c r="B51" s="2" t="inlineStr">
        <is>
          <t>Jurong Depot</t>
        </is>
      </c>
      <c r="C51" s="2" t="inlineStr">
        <is>
          <t>Pipe Replacement</t>
        </is>
      </c>
      <c r="D51" s="2" t="inlineStr">
        <is>
          <t>Medium</t>
        </is>
      </c>
      <c r="E51" s="2" t="inlineStr">
        <is>
          <t>Cancelled</t>
        </is>
      </c>
      <c r="F51" s="2" t="inlineStr">
        <is>
          <t>Ben Lim</t>
        </is>
      </c>
      <c r="G51" s="6" t="n">
        <v>46241</v>
      </c>
      <c r="H51" s="6" t="n">
        <v>46257</v>
      </c>
      <c r="I51" s="2" t="n"/>
      <c r="J51" s="2" t="n">
        <v>2</v>
      </c>
      <c r="K51" s="2" t="n">
        <v>0</v>
      </c>
      <c r="L51" s="2" t="n">
        <v>445</v>
      </c>
      <c r="M51" s="2" t="inlineStr">
        <is>
          <t>Pipe Replacement scheduled or reactive task 050</t>
        </is>
      </c>
    </row>
    <row r="52">
      <c r="A52" s="2" t="inlineStr">
        <is>
          <t>WO-2026-0051</t>
        </is>
      </c>
      <c r="B52" s="2" t="inlineStr">
        <is>
          <t>Jurong Depot</t>
        </is>
      </c>
      <c r="C52" s="2" t="inlineStr">
        <is>
          <t>Pipe Replacement</t>
        </is>
      </c>
      <c r="D52" s="2" t="inlineStr">
        <is>
          <t>High</t>
        </is>
      </c>
      <c r="E52" s="2" t="inlineStr">
        <is>
          <t>Closed</t>
        </is>
      </c>
      <c r="F52" s="2" t="inlineStr">
        <is>
          <t>Chloe Goh</t>
        </is>
      </c>
      <c r="G52" s="6" t="n">
        <v>46240</v>
      </c>
      <c r="H52" s="6" t="n">
        <v>46247</v>
      </c>
      <c r="I52" s="6" t="n">
        <v>46245</v>
      </c>
      <c r="J52" s="2" t="n">
        <v>3</v>
      </c>
      <c r="K52" s="2" t="n">
        <v>6</v>
      </c>
      <c r="L52" s="2" t="n">
        <v>480.5</v>
      </c>
      <c r="M52" s="2" t="inlineStr">
        <is>
          <t>Pipe Replacement scheduled or reactive task 051</t>
        </is>
      </c>
    </row>
    <row r="53">
      <c r="A53" s="2" t="inlineStr">
        <is>
          <t>WO-2026-0052</t>
        </is>
      </c>
      <c r="B53" s="2" t="inlineStr">
        <is>
          <t>Tampines Centre</t>
        </is>
      </c>
      <c r="C53" s="2" t="inlineStr">
        <is>
          <t>Pipe Replacement</t>
        </is>
      </c>
      <c r="D53" s="2" t="inlineStr">
        <is>
          <t>Critical</t>
        </is>
      </c>
      <c r="E53" s="2" t="inlineStr">
        <is>
          <t>Closed</t>
        </is>
      </c>
      <c r="F53" s="2" t="inlineStr">
        <is>
          <t>Daniel Lee</t>
        </is>
      </c>
      <c r="G53" s="6" t="n">
        <v>46239</v>
      </c>
      <c r="H53" s="6" t="n">
        <v>46247</v>
      </c>
      <c r="I53" s="6" t="n">
        <v>46245</v>
      </c>
      <c r="J53" s="2" t="n">
        <v>4</v>
      </c>
      <c r="K53" s="2" t="n">
        <v>7</v>
      </c>
      <c r="L53" s="2" t="n">
        <v>516</v>
      </c>
      <c r="M53" s="2" t="inlineStr">
        <is>
          <t>Pipe Replacement scheduled or reactive task 052</t>
        </is>
      </c>
    </row>
    <row r="54">
      <c r="A54" s="2" t="inlineStr">
        <is>
          <t>WO-2026-0053</t>
        </is>
      </c>
      <c r="B54" s="2" t="inlineStr">
        <is>
          <t>Tampines Centre</t>
        </is>
      </c>
      <c r="C54" s="2" t="inlineStr">
        <is>
          <t>Pump Service</t>
        </is>
      </c>
      <c r="D54" s="2" t="inlineStr">
        <is>
          <t>Low</t>
        </is>
      </c>
      <c r="E54" s="2" t="inlineStr">
        <is>
          <t>New</t>
        </is>
      </c>
      <c r="F54" s="2" t="inlineStr">
        <is>
          <t>Elena Ong</t>
        </is>
      </c>
      <c r="G54" s="6" t="n">
        <v>46238</v>
      </c>
      <c r="H54" s="6" t="n">
        <v>46247</v>
      </c>
      <c r="I54" s="2" t="n"/>
      <c r="J54" s="2" t="n">
        <v>5</v>
      </c>
      <c r="K54" s="2" t="n">
        <v>0</v>
      </c>
      <c r="L54" s="2" t="n">
        <v>90</v>
      </c>
      <c r="M54" s="2" t="inlineStr">
        <is>
          <t>Pump Service scheduled or reactive task 053</t>
        </is>
      </c>
    </row>
    <row r="55">
      <c r="A55" s="2" t="inlineStr">
        <is>
          <t>WO-2026-0054</t>
        </is>
      </c>
      <c r="B55" s="2" t="inlineStr">
        <is>
          <t>Tampines Centre</t>
        </is>
      </c>
      <c r="C55" s="2" t="inlineStr">
        <is>
          <t>Pump Service</t>
        </is>
      </c>
      <c r="D55" s="2" t="inlineStr">
        <is>
          <t>Medium</t>
        </is>
      </c>
      <c r="E55" s="2" t="inlineStr">
        <is>
          <t>Assigned</t>
        </is>
      </c>
      <c r="F55" s="2" t="inlineStr">
        <is>
          <t>Farid Rahman</t>
        </is>
      </c>
      <c r="G55" s="6" t="n">
        <v>46237</v>
      </c>
      <c r="H55" s="6" t="n">
        <v>46247</v>
      </c>
      <c r="I55" s="2" t="n"/>
      <c r="J55" s="2" t="n">
        <v>6</v>
      </c>
      <c r="K55" s="2" t="n">
        <v>0</v>
      </c>
      <c r="L55" s="2" t="n">
        <v>125.5</v>
      </c>
      <c r="M55" s="2" t="inlineStr">
        <is>
          <t>Pump Service scheduled or reactive task 054</t>
        </is>
      </c>
    </row>
    <row r="56">
      <c r="A56" s="2" t="inlineStr">
        <is>
          <t>WO-2026-0055</t>
        </is>
      </c>
      <c r="B56" s="2" t="inlineStr">
        <is>
          <t>Paya Lebar Office</t>
        </is>
      </c>
      <c r="C56" s="2" t="inlineStr">
        <is>
          <t>Pump Service</t>
        </is>
      </c>
      <c r="D56" s="2" t="inlineStr">
        <is>
          <t>High</t>
        </is>
      </c>
      <c r="E56" s="2" t="inlineStr">
        <is>
          <t>In Progress</t>
        </is>
      </c>
      <c r="F56" s="2" t="inlineStr">
        <is>
          <t>Grace Ng</t>
        </is>
      </c>
      <c r="G56" s="6" t="n">
        <v>46236</v>
      </c>
      <c r="H56" s="6" t="n">
        <v>46247</v>
      </c>
      <c r="I56" s="2" t="n"/>
      <c r="J56" s="2" t="n">
        <v>7</v>
      </c>
      <c r="K56" s="2" t="n">
        <v>0</v>
      </c>
      <c r="L56" s="2" t="n">
        <v>161</v>
      </c>
      <c r="M56" s="2" t="inlineStr">
        <is>
          <t>Pump Service scheduled or reactive task 055</t>
        </is>
      </c>
    </row>
    <row r="57">
      <c r="A57" s="2" t="inlineStr">
        <is>
          <t>WO-2026-0056</t>
        </is>
      </c>
      <c r="B57" s="2" t="inlineStr">
        <is>
          <t>Paya Lebar Office</t>
        </is>
      </c>
      <c r="C57" s="2" t="inlineStr">
        <is>
          <t>Pump Service</t>
        </is>
      </c>
      <c r="D57" s="2" t="inlineStr">
        <is>
          <t>Critical</t>
        </is>
      </c>
      <c r="E57" s="2" t="inlineStr">
        <is>
          <t>Closed</t>
        </is>
      </c>
      <c r="F57" s="2" t="inlineStr">
        <is>
          <t>Hari Kumar</t>
        </is>
      </c>
      <c r="G57" s="6" t="n">
        <v>46235</v>
      </c>
      <c r="H57" s="6" t="n">
        <v>46247</v>
      </c>
      <c r="I57" s="6" t="n">
        <v>46246</v>
      </c>
      <c r="J57" s="2" t="n">
        <v>8</v>
      </c>
      <c r="K57" s="2" t="n">
        <v>2</v>
      </c>
      <c r="L57" s="2" t="n">
        <v>196.5</v>
      </c>
      <c r="M57" s="2" t="inlineStr">
        <is>
          <t>Pump Service scheduled or reactive task 056</t>
        </is>
      </c>
    </row>
    <row r="58">
      <c r="A58" s="2" t="inlineStr">
        <is>
          <t>WO-2026-0057</t>
        </is>
      </c>
      <c r="B58" s="2" t="inlineStr">
        <is>
          <t>Paya Lebar Office</t>
        </is>
      </c>
      <c r="C58" s="2" t="inlineStr">
        <is>
          <t>Meter Service</t>
        </is>
      </c>
      <c r="D58" s="2" t="inlineStr">
        <is>
          <t>Low</t>
        </is>
      </c>
      <c r="E58" s="2" t="inlineStr">
        <is>
          <t>Closed</t>
        </is>
      </c>
      <c r="F58" s="2" t="inlineStr">
        <is>
          <t>Aisha Tan</t>
        </is>
      </c>
      <c r="G58" s="6" t="n">
        <v>46234</v>
      </c>
      <c r="H58" s="6" t="n">
        <v>46247</v>
      </c>
      <c r="I58" s="6" t="n">
        <v>46246</v>
      </c>
      <c r="J58" s="2" t="n">
        <v>2</v>
      </c>
      <c r="K58" s="2" t="n">
        <v>3</v>
      </c>
      <c r="L58" s="2" t="n">
        <v>232</v>
      </c>
      <c r="M58" s="2" t="inlineStr">
        <is>
          <t>Meter Service scheduled or reactive task 057</t>
        </is>
      </c>
    </row>
    <row r="59">
      <c r="A59" s="2" t="inlineStr">
        <is>
          <t>WO-2026-0058</t>
        </is>
      </c>
      <c r="B59" s="2" t="inlineStr">
        <is>
          <t>Changi Workshop</t>
        </is>
      </c>
      <c r="C59" s="2" t="inlineStr">
        <is>
          <t>Meter Service</t>
        </is>
      </c>
      <c r="D59" s="2" t="inlineStr">
        <is>
          <t>Medium</t>
        </is>
      </c>
      <c r="E59" s="2" t="inlineStr">
        <is>
          <t>Assigned</t>
        </is>
      </c>
      <c r="F59" s="2" t="inlineStr">
        <is>
          <t>Ben Lim</t>
        </is>
      </c>
      <c r="G59" s="6" t="n">
        <v>46233</v>
      </c>
      <c r="H59" s="6" t="n">
        <v>46247</v>
      </c>
      <c r="I59" s="2" t="n"/>
      <c r="J59" s="2" t="n">
        <v>3</v>
      </c>
      <c r="K59" s="2" t="n">
        <v>0</v>
      </c>
      <c r="L59" s="2" t="n">
        <v>267.5</v>
      </c>
      <c r="M59" s="2" t="inlineStr">
        <is>
          <t>Meter Service scheduled or reactive task 058</t>
        </is>
      </c>
    </row>
    <row r="60">
      <c r="A60" s="2" t="inlineStr">
        <is>
          <t>WO-2026-0059</t>
        </is>
      </c>
      <c r="B60" s="2" t="inlineStr">
        <is>
          <t>Changi Workshop</t>
        </is>
      </c>
      <c r="C60" s="2" t="inlineStr">
        <is>
          <t>Meter Service</t>
        </is>
      </c>
      <c r="D60" s="2" t="inlineStr">
        <is>
          <t>High</t>
        </is>
      </c>
      <c r="E60" s="2" t="inlineStr">
        <is>
          <t>In Progress</t>
        </is>
      </c>
      <c r="F60" s="2" t="inlineStr">
        <is>
          <t>Chloe Goh</t>
        </is>
      </c>
      <c r="G60" s="6" t="n">
        <v>46232</v>
      </c>
      <c r="H60" s="6" t="n">
        <v>46247</v>
      </c>
      <c r="I60" s="2" t="n"/>
      <c r="J60" s="2" t="n">
        <v>4</v>
      </c>
      <c r="K60" s="2" t="n">
        <v>0</v>
      </c>
      <c r="L60" s="2" t="n">
        <v>303</v>
      </c>
      <c r="M60" s="2" t="inlineStr">
        <is>
          <t>Meter Service scheduled or reactive task 059</t>
        </is>
      </c>
    </row>
    <row r="61">
      <c r="A61" s="2" t="inlineStr">
        <is>
          <t>WO-2026-0060</t>
        </is>
      </c>
      <c r="B61" s="2" t="inlineStr">
        <is>
          <t>Changi Workshop</t>
        </is>
      </c>
      <c r="C61" s="2" t="inlineStr">
        <is>
          <t>Meter Service</t>
        </is>
      </c>
      <c r="D61" s="2" t="inlineStr">
        <is>
          <t>Critical</t>
        </is>
      </c>
      <c r="E61" s="2" t="inlineStr">
        <is>
          <t>Cancelled</t>
        </is>
      </c>
      <c r="F61" s="2" t="inlineStr">
        <is>
          <t>Daniel Lee</t>
        </is>
      </c>
      <c r="G61" s="6" t="n">
        <v>46231</v>
      </c>
      <c r="H61" s="6" t="n">
        <v>46247</v>
      </c>
      <c r="I61" s="2" t="n"/>
      <c r="J61" s="2" t="n">
        <v>5</v>
      </c>
      <c r="K61" s="2" t="n">
        <v>0</v>
      </c>
      <c r="L61" s="2" t="n">
        <v>338.5</v>
      </c>
      <c r="M61" s="2" t="inlineStr">
        <is>
          <t>Meter Service scheduled or reactive task 060</t>
        </is>
      </c>
    </row>
    <row r="62">
      <c r="A62" s="2" t="inlineStr">
        <is>
          <t>WO-2026-0061</t>
        </is>
      </c>
      <c r="B62" s="2" t="inlineStr">
        <is>
          <t>Woodlands Hub</t>
        </is>
      </c>
      <c r="C62" s="2" t="inlineStr">
        <is>
          <t>Leak Repair</t>
        </is>
      </c>
      <c r="D62" s="2" t="inlineStr">
        <is>
          <t>Low</t>
        </is>
      </c>
      <c r="E62" s="2" t="inlineStr">
        <is>
          <t>Closed</t>
        </is>
      </c>
      <c r="F62" s="2" t="inlineStr">
        <is>
          <t>Elena Ong</t>
        </is>
      </c>
      <c r="G62" s="6" t="n">
        <v>46230</v>
      </c>
      <c r="H62" s="6" t="n">
        <v>46237</v>
      </c>
      <c r="I62" s="6" t="n">
        <v>46237</v>
      </c>
      <c r="J62" s="2" t="n">
        <v>6</v>
      </c>
      <c r="K62" s="2" t="n">
        <v>7</v>
      </c>
      <c r="L62" s="2" t="n">
        <v>374</v>
      </c>
      <c r="M62" s="2" t="inlineStr">
        <is>
          <t>Leak Repair scheduled or reactive task 061</t>
        </is>
      </c>
    </row>
    <row r="63">
      <c r="A63" s="2" t="inlineStr">
        <is>
          <t>WO-2026-0062</t>
        </is>
      </c>
      <c r="B63" s="2" t="inlineStr">
        <is>
          <t>Woodlands Hub</t>
        </is>
      </c>
      <c r="C63" s="2" t="inlineStr">
        <is>
          <t>Leak Repair</t>
        </is>
      </c>
      <c r="D63" s="2" t="inlineStr">
        <is>
          <t>Medium</t>
        </is>
      </c>
      <c r="E63" s="2" t="inlineStr">
        <is>
          <t>Closed</t>
        </is>
      </c>
      <c r="F63" s="2" t="inlineStr">
        <is>
          <t>Farid Rahman</t>
        </is>
      </c>
      <c r="G63" s="6" t="n">
        <v>46229</v>
      </c>
      <c r="H63" s="6" t="n">
        <v>46237</v>
      </c>
      <c r="I63" s="6" t="n">
        <v>46237</v>
      </c>
      <c r="J63" s="2" t="n">
        <v>7</v>
      </c>
      <c r="K63" s="2" t="n">
        <v>8</v>
      </c>
      <c r="L63" s="2" t="n">
        <v>409.5</v>
      </c>
      <c r="M63" s="2" t="inlineStr">
        <is>
          <t>Leak Repair scheduled or reactive task 062</t>
        </is>
      </c>
    </row>
    <row r="64">
      <c r="A64" s="2" t="inlineStr">
        <is>
          <t>WO-2026-0063</t>
        </is>
      </c>
      <c r="B64" s="2" t="inlineStr">
        <is>
          <t>Woodlands Hub</t>
        </is>
      </c>
      <c r="C64" s="2" t="inlineStr">
        <is>
          <t>Leak Repair</t>
        </is>
      </c>
      <c r="D64" s="2" t="inlineStr">
        <is>
          <t>High</t>
        </is>
      </c>
      <c r="E64" s="2" t="inlineStr">
        <is>
          <t>In Progress</t>
        </is>
      </c>
      <c r="F64" s="2" t="inlineStr">
        <is>
          <t>Grace Ng</t>
        </is>
      </c>
      <c r="G64" s="6" t="n">
        <v>46228</v>
      </c>
      <c r="H64" s="6" t="n">
        <v>46237</v>
      </c>
      <c r="I64" s="2" t="n"/>
      <c r="J64" s="2" t="n">
        <v>8</v>
      </c>
      <c r="K64" s="2" t="n">
        <v>0</v>
      </c>
      <c r="L64" s="2" t="n">
        <v>445</v>
      </c>
      <c r="M64" s="2" t="inlineStr">
        <is>
          <t>Leak Repair scheduled or reactive task 063</t>
        </is>
      </c>
    </row>
    <row r="65">
      <c r="A65" s="2" t="inlineStr">
        <is>
          <t>WO-2026-0064</t>
        </is>
      </c>
      <c r="B65" s="2" t="inlineStr">
        <is>
          <t>Jurong Depot</t>
        </is>
      </c>
      <c r="C65" s="2" t="inlineStr">
        <is>
          <t>Leak Repair</t>
        </is>
      </c>
      <c r="D65" s="2" t="inlineStr">
        <is>
          <t>Critical</t>
        </is>
      </c>
      <c r="E65" s="2" t="inlineStr">
        <is>
          <t>On Hold</t>
        </is>
      </c>
      <c r="F65" s="2" t="inlineStr">
        <is>
          <t>Hari Kumar</t>
        </is>
      </c>
      <c r="G65" s="6" t="n">
        <v>46227</v>
      </c>
      <c r="H65" s="6" t="n">
        <v>46237</v>
      </c>
      <c r="I65" s="2" t="n"/>
      <c r="J65" s="2" t="n">
        <v>2</v>
      </c>
      <c r="K65" s="2" t="n">
        <v>0</v>
      </c>
      <c r="L65" s="2" t="n">
        <v>480.5</v>
      </c>
      <c r="M65" s="2" t="inlineStr">
        <is>
          <t>Leak Repair scheduled or reactive task 064</t>
        </is>
      </c>
    </row>
    <row r="66">
      <c r="A66" s="2" t="inlineStr">
        <is>
          <t>WO-2026-0065</t>
        </is>
      </c>
      <c r="B66" s="2" t="inlineStr">
        <is>
          <t>Jurong Depot</t>
        </is>
      </c>
      <c r="C66" s="2" t="inlineStr">
        <is>
          <t>Valve Repair</t>
        </is>
      </c>
      <c r="D66" s="2" t="inlineStr">
        <is>
          <t>Low</t>
        </is>
      </c>
      <c r="E66" s="2" t="inlineStr">
        <is>
          <t>New</t>
        </is>
      </c>
      <c r="F66" s="2" t="inlineStr">
        <is>
          <t>Aisha Tan</t>
        </is>
      </c>
      <c r="G66" s="6" t="n">
        <v>46226</v>
      </c>
      <c r="H66" s="6" t="n">
        <v>46237</v>
      </c>
      <c r="I66" s="2" t="n"/>
      <c r="J66" s="2" t="n">
        <v>3</v>
      </c>
      <c r="K66" s="2" t="n">
        <v>0</v>
      </c>
      <c r="L66" s="2" t="n">
        <v>516</v>
      </c>
      <c r="M66" s="2" t="inlineStr">
        <is>
          <t>Valve Repair scheduled or reactive task 065</t>
        </is>
      </c>
    </row>
    <row r="67">
      <c r="A67" s="2" t="inlineStr">
        <is>
          <t>WO-2026-0066</t>
        </is>
      </c>
      <c r="B67" s="2" t="inlineStr">
        <is>
          <t>Jurong Depot</t>
        </is>
      </c>
      <c r="C67" s="2" t="inlineStr">
        <is>
          <t>Valve Repair</t>
        </is>
      </c>
      <c r="D67" s="2" t="inlineStr">
        <is>
          <t>Medium</t>
        </is>
      </c>
      <c r="E67" s="2" t="inlineStr">
        <is>
          <t>Closed</t>
        </is>
      </c>
      <c r="F67" s="2" t="inlineStr">
        <is>
          <t>Ben Lim</t>
        </is>
      </c>
      <c r="G67" s="6" t="n">
        <v>46225</v>
      </c>
      <c r="H67" s="6" t="n">
        <v>46237</v>
      </c>
      <c r="I67" s="6" t="n">
        <v>46238</v>
      </c>
      <c r="J67" s="2" t="n">
        <v>4</v>
      </c>
      <c r="K67" s="2" t="n">
        <v>3</v>
      </c>
      <c r="L67" s="2" t="n">
        <v>90</v>
      </c>
      <c r="M67" s="2" t="inlineStr">
        <is>
          <t>Valve Repair scheduled or reactive task 066</t>
        </is>
      </c>
    </row>
    <row r="68">
      <c r="A68" s="2" t="inlineStr">
        <is>
          <t>WO-2026-0067</t>
        </is>
      </c>
      <c r="B68" s="2" t="inlineStr">
        <is>
          <t>Tampines Centre</t>
        </is>
      </c>
      <c r="C68" s="2" t="inlineStr">
        <is>
          <t>Valve Repair</t>
        </is>
      </c>
      <c r="D68" s="2" t="inlineStr">
        <is>
          <t>High</t>
        </is>
      </c>
      <c r="E68" s="2" t="inlineStr">
        <is>
          <t>Closed</t>
        </is>
      </c>
      <c r="F68" s="2" t="inlineStr">
        <is>
          <t>Chloe Goh</t>
        </is>
      </c>
      <c r="G68" s="6" t="n">
        <v>46224</v>
      </c>
      <c r="H68" s="6" t="n">
        <v>46237</v>
      </c>
      <c r="I68" s="6" t="n">
        <v>46238</v>
      </c>
      <c r="J68" s="2" t="n">
        <v>5</v>
      </c>
      <c r="K68" s="2" t="n">
        <v>4</v>
      </c>
      <c r="L68" s="2" t="n">
        <v>125.5</v>
      </c>
      <c r="M68" s="2" t="inlineStr">
        <is>
          <t>Valve Repair scheduled or reactive task 067</t>
        </is>
      </c>
    </row>
    <row r="69">
      <c r="A69" s="2" t="inlineStr">
        <is>
          <t>WO-2026-0068</t>
        </is>
      </c>
      <c r="B69" s="2" t="inlineStr">
        <is>
          <t>Tampines Centre</t>
        </is>
      </c>
      <c r="C69" s="2" t="inlineStr">
        <is>
          <t>Valve Repair</t>
        </is>
      </c>
      <c r="D69" s="2" t="inlineStr">
        <is>
          <t>Critical</t>
        </is>
      </c>
      <c r="E69" s="2" t="inlineStr">
        <is>
          <t>On Hold</t>
        </is>
      </c>
      <c r="F69" s="2" t="inlineStr">
        <is>
          <t>Daniel Lee</t>
        </is>
      </c>
      <c r="G69" s="6" t="n">
        <v>46223</v>
      </c>
      <c r="H69" s="6" t="n">
        <v>46237</v>
      </c>
      <c r="I69" s="2" t="n"/>
      <c r="J69" s="2" t="n">
        <v>6</v>
      </c>
      <c r="K69" s="2" t="n">
        <v>0</v>
      </c>
      <c r="L69" s="2" t="n">
        <v>161</v>
      </c>
      <c r="M69" s="2" t="inlineStr">
        <is>
          <t>Valve Repair scheduled or reactive task 068</t>
        </is>
      </c>
    </row>
    <row r="70">
      <c r="A70" s="2" t="inlineStr">
        <is>
          <t>WO-2026-0069</t>
        </is>
      </c>
      <c r="B70" s="2" t="inlineStr">
        <is>
          <t>Tampines Centre</t>
        </is>
      </c>
      <c r="C70" s="2" t="inlineStr">
        <is>
          <t>Pipe Replacement</t>
        </is>
      </c>
      <c r="D70" s="2" t="inlineStr">
        <is>
          <t>Low</t>
        </is>
      </c>
      <c r="E70" s="2" t="inlineStr">
        <is>
          <t>New</t>
        </is>
      </c>
      <c r="F70" s="2" t="inlineStr">
        <is>
          <t>Elena Ong</t>
        </is>
      </c>
      <c r="G70" s="6" t="n">
        <v>46222</v>
      </c>
      <c r="H70" s="6" t="n">
        <v>46237</v>
      </c>
      <c r="I70" s="2" t="n"/>
      <c r="J70" s="2" t="n">
        <v>7</v>
      </c>
      <c r="K70" s="2" t="n">
        <v>0</v>
      </c>
      <c r="L70" s="2" t="n">
        <v>196.5</v>
      </c>
      <c r="M70" s="2" t="inlineStr">
        <is>
          <t>Pipe Replacement scheduled or reactive task 069</t>
        </is>
      </c>
    </row>
    <row r="71">
      <c r="A71" s="2" t="inlineStr">
        <is>
          <t>WO-2026-0070</t>
        </is>
      </c>
      <c r="B71" s="2" t="inlineStr">
        <is>
          <t>Paya Lebar Office</t>
        </is>
      </c>
      <c r="C71" s="2" t="inlineStr">
        <is>
          <t>Pipe Replacement</t>
        </is>
      </c>
      <c r="D71" s="2" t="inlineStr">
        <is>
          <t>Medium</t>
        </is>
      </c>
      <c r="E71" s="2" t="inlineStr">
        <is>
          <t>Cancelled</t>
        </is>
      </c>
      <c r="F71" s="2" t="inlineStr">
        <is>
          <t>Farid Rahman</t>
        </is>
      </c>
      <c r="G71" s="6" t="n">
        <v>46221</v>
      </c>
      <c r="H71" s="6" t="n">
        <v>46237</v>
      </c>
      <c r="I71" s="2" t="n"/>
      <c r="J71" s="2" t="n">
        <v>8</v>
      </c>
      <c r="K71" s="2" t="n">
        <v>0</v>
      </c>
      <c r="L71" s="2" t="n">
        <v>232</v>
      </c>
      <c r="M71" s="2" t="inlineStr">
        <is>
          <t>Pipe Replacement scheduled or reactive task 070</t>
        </is>
      </c>
    </row>
    <row r="72">
      <c r="A72" s="2" t="inlineStr">
        <is>
          <t>WO-2026-0071</t>
        </is>
      </c>
      <c r="B72" s="2" t="inlineStr">
        <is>
          <t>Paya Lebar Office</t>
        </is>
      </c>
      <c r="C72" s="2" t="inlineStr">
        <is>
          <t>Pipe Replacement</t>
        </is>
      </c>
      <c r="D72" s="2" t="inlineStr">
        <is>
          <t>High</t>
        </is>
      </c>
      <c r="E72" s="2" t="inlineStr">
        <is>
          <t>Closed</t>
        </is>
      </c>
      <c r="F72" s="2" t="inlineStr">
        <is>
          <t>Grace Ng</t>
        </is>
      </c>
      <c r="G72" s="6" t="n">
        <v>46220</v>
      </c>
      <c r="H72" s="6" t="n">
        <v>46227</v>
      </c>
      <c r="I72" s="6" t="n">
        <v>46229</v>
      </c>
      <c r="J72" s="2" t="n">
        <v>2</v>
      </c>
      <c r="K72" s="2" t="n">
        <v>8</v>
      </c>
      <c r="L72" s="2" t="n">
        <v>267.5</v>
      </c>
      <c r="M72" s="2" t="inlineStr">
        <is>
          <t>Pipe Replacement scheduled or reactive task 071</t>
        </is>
      </c>
    </row>
    <row r="73">
      <c r="A73" s="2" t="inlineStr">
        <is>
          <t>WO-2026-0072</t>
        </is>
      </c>
      <c r="B73" s="2" t="inlineStr">
        <is>
          <t>Paya Lebar Office</t>
        </is>
      </c>
      <c r="C73" s="2" t="inlineStr">
        <is>
          <t>Pipe Replacement</t>
        </is>
      </c>
      <c r="D73" s="2" t="inlineStr">
        <is>
          <t>Critical</t>
        </is>
      </c>
      <c r="E73" s="2" t="inlineStr">
        <is>
          <t>Closed</t>
        </is>
      </c>
      <c r="F73" s="2" t="inlineStr">
        <is>
          <t>Hari Kumar</t>
        </is>
      </c>
      <c r="G73" s="6" t="n">
        <v>46219</v>
      </c>
      <c r="H73" s="6" t="n">
        <v>46227</v>
      </c>
      <c r="I73" s="6" t="n">
        <v>46229</v>
      </c>
      <c r="J73" s="2" t="n">
        <v>3</v>
      </c>
      <c r="K73" s="2" t="n">
        <v>9</v>
      </c>
      <c r="L73" s="2" t="n">
        <v>303</v>
      </c>
      <c r="M73" s="2" t="inlineStr">
        <is>
          <t>Pipe Replacement scheduled or reactive task 072</t>
        </is>
      </c>
    </row>
    <row r="74">
      <c r="A74" s="2" t="inlineStr">
        <is>
          <t>WO-2026-0073</t>
        </is>
      </c>
      <c r="B74" s="2" t="inlineStr">
        <is>
          <t>Changi Workshop</t>
        </is>
      </c>
      <c r="C74" s="2" t="inlineStr">
        <is>
          <t>Pump Service</t>
        </is>
      </c>
      <c r="D74" s="2" t="inlineStr">
        <is>
          <t>Low</t>
        </is>
      </c>
      <c r="E74" s="2" t="inlineStr">
        <is>
          <t>New</t>
        </is>
      </c>
      <c r="F74" s="2" t="n"/>
      <c r="G74" s="6" t="n">
        <v>46218</v>
      </c>
      <c r="H74" s="6" t="n">
        <v>46227</v>
      </c>
      <c r="I74" s="2" t="n"/>
      <c r="J74" s="2" t="n">
        <v>4</v>
      </c>
      <c r="K74" s="2" t="n">
        <v>0</v>
      </c>
      <c r="L74" s="2" t="n">
        <v>338.5</v>
      </c>
      <c r="M74" s="2" t="inlineStr">
        <is>
          <t>Pump Service scheduled or reactive task 073</t>
        </is>
      </c>
    </row>
    <row r="75">
      <c r="A75" s="2" t="inlineStr">
        <is>
          <t>WO-2026-0074</t>
        </is>
      </c>
      <c r="B75" s="2" t="inlineStr">
        <is>
          <t>Changi Workshop</t>
        </is>
      </c>
      <c r="C75" s="2" t="inlineStr">
        <is>
          <t>Pump Service</t>
        </is>
      </c>
      <c r="D75" s="2" t="inlineStr">
        <is>
          <t>Medium</t>
        </is>
      </c>
      <c r="E75" s="2" t="inlineStr">
        <is>
          <t>Assigned</t>
        </is>
      </c>
      <c r="F75" s="2" t="inlineStr">
        <is>
          <t>Ben Lim</t>
        </is>
      </c>
      <c r="G75" s="6" t="n">
        <v>46217</v>
      </c>
      <c r="H75" s="6" t="n">
        <v>46227</v>
      </c>
      <c r="I75" s="2" t="n"/>
      <c r="J75" s="2" t="n">
        <v>5</v>
      </c>
      <c r="K75" s="2" t="n">
        <v>0</v>
      </c>
      <c r="L75" s="2" t="n">
        <v>374</v>
      </c>
      <c r="M75" s="2" t="inlineStr">
        <is>
          <t>Pump Service scheduled or reactive task 074</t>
        </is>
      </c>
    </row>
    <row r="76">
      <c r="A76" s="2" t="inlineStr">
        <is>
          <t>WO-2026-0075</t>
        </is>
      </c>
      <c r="B76" s="2" t="inlineStr">
        <is>
          <t>Changi Workshop</t>
        </is>
      </c>
      <c r="C76" s="2" t="inlineStr">
        <is>
          <t>Pump Service</t>
        </is>
      </c>
      <c r="D76" s="2" t="inlineStr">
        <is>
          <t>High</t>
        </is>
      </c>
      <c r="E76" s="2" t="inlineStr">
        <is>
          <t>In Progress</t>
        </is>
      </c>
      <c r="F76" s="2" t="inlineStr">
        <is>
          <t>Chloe Goh</t>
        </is>
      </c>
      <c r="G76" s="6" t="n">
        <v>46216</v>
      </c>
      <c r="H76" s="6" t="n">
        <v>46227</v>
      </c>
      <c r="I76" s="2" t="n"/>
      <c r="J76" s="2" t="n">
        <v>6</v>
      </c>
      <c r="K76" s="2" t="n">
        <v>0</v>
      </c>
      <c r="L76" s="2" t="n">
        <v>409.5</v>
      </c>
      <c r="M76" s="2" t="inlineStr">
        <is>
          <t>Pump Service scheduled or reactive task 075</t>
        </is>
      </c>
    </row>
    <row r="77">
      <c r="A77" s="2" t="inlineStr">
        <is>
          <t>WO-2026-0076</t>
        </is>
      </c>
      <c r="B77" s="2" t="inlineStr">
        <is>
          <t>Woodlands Hub</t>
        </is>
      </c>
      <c r="C77" s="2" t="inlineStr">
        <is>
          <t>Pump Service</t>
        </is>
      </c>
      <c r="D77" s="2" t="inlineStr">
        <is>
          <t>Critical</t>
        </is>
      </c>
      <c r="E77" s="2" t="inlineStr">
        <is>
          <t>Closed</t>
        </is>
      </c>
      <c r="F77" s="2" t="inlineStr">
        <is>
          <t>Daniel Lee</t>
        </is>
      </c>
      <c r="G77" s="6" t="n">
        <v>46215</v>
      </c>
      <c r="H77" s="6" t="n">
        <v>46227</v>
      </c>
      <c r="I77" s="6" t="n">
        <v>46225</v>
      </c>
      <c r="J77" s="2" t="n">
        <v>7</v>
      </c>
      <c r="K77" s="2" t="n">
        <v>4</v>
      </c>
      <c r="L77" s="2" t="n">
        <v>445</v>
      </c>
      <c r="M77" s="2" t="inlineStr">
        <is>
          <t>Pump Service scheduled or reactive task 076</t>
        </is>
      </c>
    </row>
    <row r="78">
      <c r="A78" s="2" t="inlineStr">
        <is>
          <t>WO-2026-0077</t>
        </is>
      </c>
      <c r="B78" s="2" t="inlineStr">
        <is>
          <t>Woodlands Hub</t>
        </is>
      </c>
      <c r="C78" s="2" t="inlineStr">
        <is>
          <t>Meter Service</t>
        </is>
      </c>
      <c r="D78" s="2" t="inlineStr">
        <is>
          <t>Low</t>
        </is>
      </c>
      <c r="E78" s="2" t="inlineStr">
        <is>
          <t>Closed</t>
        </is>
      </c>
      <c r="F78" s="2" t="inlineStr">
        <is>
          <t>Elena Ong</t>
        </is>
      </c>
      <c r="G78" s="6" t="n">
        <v>46214</v>
      </c>
      <c r="H78" s="6" t="n">
        <v>46227</v>
      </c>
      <c r="I78" s="6" t="n">
        <v>46225</v>
      </c>
      <c r="J78" s="2" t="n">
        <v>8</v>
      </c>
      <c r="K78" s="2" t="n">
        <v>5</v>
      </c>
      <c r="L78" s="2" t="n">
        <v>480.5</v>
      </c>
      <c r="M78" s="2" t="inlineStr">
        <is>
          <t>Meter Service scheduled or reactive task 077</t>
        </is>
      </c>
    </row>
    <row r="79">
      <c r="A79" s="2" t="inlineStr">
        <is>
          <t>WO-2026-0078</t>
        </is>
      </c>
      <c r="B79" s="2" t="inlineStr">
        <is>
          <t>Woodlands Hub</t>
        </is>
      </c>
      <c r="C79" s="2" t="inlineStr">
        <is>
          <t>Meter Service</t>
        </is>
      </c>
      <c r="D79" s="2" t="inlineStr">
        <is>
          <t>Medium</t>
        </is>
      </c>
      <c r="E79" s="2" t="inlineStr">
        <is>
          <t>Assigned</t>
        </is>
      </c>
      <c r="F79" s="2" t="inlineStr">
        <is>
          <t>Farid Rahman</t>
        </is>
      </c>
      <c r="G79" s="6" t="n">
        <v>46213</v>
      </c>
      <c r="H79" s="6" t="n">
        <v>46227</v>
      </c>
      <c r="I79" s="2" t="n"/>
      <c r="J79" s="2" t="n">
        <v>2</v>
      </c>
      <c r="K79" s="2" t="n">
        <v>0</v>
      </c>
      <c r="L79" s="2" t="n">
        <v>516</v>
      </c>
      <c r="M79" s="2" t="inlineStr">
        <is>
          <t>Meter Service scheduled or reactive task 078</t>
        </is>
      </c>
    </row>
    <row r="80">
      <c r="A80" s="2" t="inlineStr">
        <is>
          <t>WO-2026-0079</t>
        </is>
      </c>
      <c r="B80" s="2" t="inlineStr">
        <is>
          <t>Jurong Depot</t>
        </is>
      </c>
      <c r="C80" s="2" t="inlineStr">
        <is>
          <t>Meter Service</t>
        </is>
      </c>
      <c r="D80" s="2" t="inlineStr">
        <is>
          <t>High</t>
        </is>
      </c>
      <c r="E80" s="2" t="inlineStr">
        <is>
          <t>In Progress</t>
        </is>
      </c>
      <c r="F80" s="2" t="inlineStr">
        <is>
          <t>Grace Ng</t>
        </is>
      </c>
      <c r="G80" s="6" t="n">
        <v>46212</v>
      </c>
      <c r="H80" s="6" t="n">
        <v>46227</v>
      </c>
      <c r="I80" s="2" t="n"/>
      <c r="J80" s="2" t="n">
        <v>3</v>
      </c>
      <c r="K80" s="2" t="n">
        <v>0</v>
      </c>
      <c r="L80" s="2" t="n">
        <v>90</v>
      </c>
      <c r="M80" s="2" t="inlineStr">
        <is>
          <t>Meter Service scheduled or reactive task 079</t>
        </is>
      </c>
    </row>
    <row r="81">
      <c r="A81" s="2" t="inlineStr">
        <is>
          <t>WO-2026-0080</t>
        </is>
      </c>
      <c r="B81" s="2" t="inlineStr">
        <is>
          <t>Jurong Depot</t>
        </is>
      </c>
      <c r="C81" s="2" t="inlineStr">
        <is>
          <t>Meter Service</t>
        </is>
      </c>
      <c r="D81" s="2" t="inlineStr">
        <is>
          <t>Critical</t>
        </is>
      </c>
      <c r="E81" s="2" t="inlineStr">
        <is>
          <t>Cancelled</t>
        </is>
      </c>
      <c r="F81" s="2" t="inlineStr">
        <is>
          <t>Hari Kumar</t>
        </is>
      </c>
      <c r="G81" s="6" t="n">
        <v>46211</v>
      </c>
      <c r="H81" s="6" t="n">
        <v>46227</v>
      </c>
      <c r="I81" s="2" t="n"/>
      <c r="J81" s="2" t="n">
        <v>4</v>
      </c>
      <c r="K81" s="2" t="n">
        <v>0</v>
      </c>
      <c r="L81" s="2" t="n">
        <v>125.5</v>
      </c>
      <c r="M81" s="2" t="inlineStr">
        <is>
          <t>Meter Service scheduled or reactive task 080</t>
        </is>
      </c>
    </row>
    <row r="82">
      <c r="A82" s="2" t="inlineStr">
        <is>
          <t>WO-2026-0081</t>
        </is>
      </c>
      <c r="B82" s="2" t="inlineStr">
        <is>
          <t>Jurong Depot</t>
        </is>
      </c>
      <c r="C82" s="2" t="inlineStr">
        <is>
          <t>Leak Repair</t>
        </is>
      </c>
      <c r="D82" s="2" t="inlineStr">
        <is>
          <t>Low</t>
        </is>
      </c>
      <c r="E82" s="2" t="inlineStr">
        <is>
          <t>Closed</t>
        </is>
      </c>
      <c r="F82" s="2" t="inlineStr">
        <is>
          <t>Aisha Tan</t>
        </is>
      </c>
      <c r="G82" s="6" t="n">
        <v>46290</v>
      </c>
      <c r="H82" s="6" t="n">
        <v>46297</v>
      </c>
      <c r="I82" s="6" t="n">
        <v>46295</v>
      </c>
      <c r="J82" s="2" t="n">
        <v>5</v>
      </c>
      <c r="K82" s="2" t="n">
        <v>9</v>
      </c>
      <c r="L82" s="2" t="n">
        <v>161</v>
      </c>
      <c r="M82" s="2" t="inlineStr">
        <is>
          <t>Leak Repair scheduled or reactive task 081</t>
        </is>
      </c>
    </row>
    <row r="83">
      <c r="A83" s="2" t="inlineStr">
        <is>
          <t>WO-2026-0082</t>
        </is>
      </c>
      <c r="B83" s="2" t="inlineStr">
        <is>
          <t>Tampines Centre</t>
        </is>
      </c>
      <c r="C83" s="2" t="inlineStr">
        <is>
          <t>Leak Repair</t>
        </is>
      </c>
      <c r="D83" s="2" t="inlineStr">
        <is>
          <t>Medium</t>
        </is>
      </c>
      <c r="E83" s="2" t="inlineStr">
        <is>
          <t>Closed</t>
        </is>
      </c>
      <c r="F83" s="2" t="inlineStr">
        <is>
          <t>Ben Lim</t>
        </is>
      </c>
      <c r="G83" s="6" t="n">
        <v>46289</v>
      </c>
      <c r="H83" s="6" t="n">
        <v>46297</v>
      </c>
      <c r="I83" s="6" t="n">
        <v>46295</v>
      </c>
      <c r="J83" s="2" t="n">
        <v>6</v>
      </c>
      <c r="K83" s="2" t="n">
        <v>1</v>
      </c>
      <c r="L83" s="2" t="n">
        <v>196.5</v>
      </c>
      <c r="M83" s="2" t="inlineStr">
        <is>
          <t>Leak Repair scheduled or reactive task 082</t>
        </is>
      </c>
    </row>
    <row r="84">
      <c r="A84" s="2" t="inlineStr">
        <is>
          <t>WO-2026-0083</t>
        </is>
      </c>
      <c r="B84" s="2" t="inlineStr">
        <is>
          <t>Tampines Centre</t>
        </is>
      </c>
      <c r="C84" s="2" t="inlineStr">
        <is>
          <t>Leak Repair</t>
        </is>
      </c>
      <c r="D84" s="2" t="inlineStr">
        <is>
          <t>High</t>
        </is>
      </c>
      <c r="E84" s="2" t="inlineStr">
        <is>
          <t>In Progress</t>
        </is>
      </c>
      <c r="F84" s="2" t="inlineStr">
        <is>
          <t>Chloe Goh</t>
        </is>
      </c>
      <c r="G84" s="6" t="n">
        <v>46288</v>
      </c>
      <c r="H84" s="6" t="n">
        <v>46297</v>
      </c>
      <c r="I84" s="2" t="n"/>
      <c r="J84" s="2" t="n">
        <v>7</v>
      </c>
      <c r="K84" s="2" t="n">
        <v>0</v>
      </c>
      <c r="L84" s="2" t="n">
        <v>232</v>
      </c>
      <c r="M84" s="2" t="inlineStr">
        <is>
          <t>Leak Repair scheduled or reactive task 083</t>
        </is>
      </c>
    </row>
    <row r="85">
      <c r="A85" s="2" t="inlineStr">
        <is>
          <t>WO-2026-0084</t>
        </is>
      </c>
      <c r="B85" s="2" t="inlineStr">
        <is>
          <t>Tampines Centre</t>
        </is>
      </c>
      <c r="C85" s="2" t="inlineStr">
        <is>
          <t>Leak Repair</t>
        </is>
      </c>
      <c r="D85" s="2" t="inlineStr">
        <is>
          <t>Critical</t>
        </is>
      </c>
      <c r="E85" s="2" t="inlineStr">
        <is>
          <t>On Hold</t>
        </is>
      </c>
      <c r="F85" s="2" t="inlineStr">
        <is>
          <t>Daniel Lee</t>
        </is>
      </c>
      <c r="G85" s="6" t="n">
        <v>46287</v>
      </c>
      <c r="H85" s="6" t="n">
        <v>46297</v>
      </c>
      <c r="I85" s="2" t="n"/>
      <c r="J85" s="2" t="n">
        <v>8</v>
      </c>
      <c r="K85" s="2" t="n">
        <v>0</v>
      </c>
      <c r="L85" s="2" t="n">
        <v>267.5</v>
      </c>
      <c r="M85" s="2" t="inlineStr">
        <is>
          <t>Leak Repair scheduled or reactive task 084</t>
        </is>
      </c>
    </row>
    <row r="86">
      <c r="A86" s="2" t="inlineStr">
        <is>
          <t>WO-2026-0085</t>
        </is>
      </c>
      <c r="B86" s="2" t="inlineStr">
        <is>
          <t>Paya Lebar Office</t>
        </is>
      </c>
      <c r="C86" s="2" t="inlineStr">
        <is>
          <t>Valve Repair</t>
        </is>
      </c>
      <c r="D86" s="2" t="inlineStr">
        <is>
          <t>Low</t>
        </is>
      </c>
      <c r="E86" s="2" t="inlineStr">
        <is>
          <t>New</t>
        </is>
      </c>
      <c r="F86" s="2" t="n"/>
      <c r="G86" s="6" t="n">
        <v>46286</v>
      </c>
      <c r="H86" s="6" t="n">
        <v>46297</v>
      </c>
      <c r="I86" s="2" t="n"/>
      <c r="J86" s="2" t="n">
        <v>2</v>
      </c>
      <c r="K86" s="2" t="n">
        <v>0</v>
      </c>
      <c r="L86" s="2" t="n">
        <v>303</v>
      </c>
      <c r="M86" s="2" t="inlineStr">
        <is>
          <t>Valve Repair scheduled or reactive task 085</t>
        </is>
      </c>
    </row>
    <row r="87">
      <c r="A87" s="2" t="inlineStr">
        <is>
          <t>WO-2026-0086</t>
        </is>
      </c>
      <c r="B87" s="2" t="inlineStr">
        <is>
          <t>Paya Lebar Office</t>
        </is>
      </c>
      <c r="C87" s="2" t="inlineStr">
        <is>
          <t>Valve Repair</t>
        </is>
      </c>
      <c r="D87" s="2" t="inlineStr">
        <is>
          <t>Medium</t>
        </is>
      </c>
      <c r="E87" s="2" t="inlineStr">
        <is>
          <t>Closed</t>
        </is>
      </c>
      <c r="F87" s="2" t="inlineStr">
        <is>
          <t>Farid Rahman</t>
        </is>
      </c>
      <c r="G87" s="6" t="n">
        <v>46285</v>
      </c>
      <c r="H87" s="6" t="n">
        <v>46297</v>
      </c>
      <c r="I87" s="6" t="n">
        <v>46295</v>
      </c>
      <c r="J87" s="2" t="n">
        <v>3</v>
      </c>
      <c r="K87" s="2" t="n">
        <v>5</v>
      </c>
      <c r="L87" s="2" t="n">
        <v>338.5</v>
      </c>
      <c r="M87" s="2" t="inlineStr">
        <is>
          <t>Valve Repair scheduled or reactive task 086</t>
        </is>
      </c>
    </row>
    <row r="88">
      <c r="A88" s="2" t="inlineStr">
        <is>
          <t>WO-2026-0087</t>
        </is>
      </c>
      <c r="B88" s="2" t="inlineStr">
        <is>
          <t>Paya Lebar Office</t>
        </is>
      </c>
      <c r="C88" s="2" t="inlineStr">
        <is>
          <t>Valve Repair</t>
        </is>
      </c>
      <c r="D88" s="2" t="inlineStr">
        <is>
          <t>High</t>
        </is>
      </c>
      <c r="E88" s="2" t="inlineStr">
        <is>
          <t>Closed</t>
        </is>
      </c>
      <c r="F88" s="2" t="inlineStr">
        <is>
          <t>Grace Ng</t>
        </is>
      </c>
      <c r="G88" s="6" t="n">
        <v>46284</v>
      </c>
      <c r="H88" s="6" t="n">
        <v>46297</v>
      </c>
      <c r="I88" s="6" t="n">
        <v>46295</v>
      </c>
      <c r="J88" s="2" t="n">
        <v>4</v>
      </c>
      <c r="K88" s="2" t="n">
        <v>6</v>
      </c>
      <c r="L88" s="2" t="n">
        <v>374</v>
      </c>
      <c r="M88" s="2" t="inlineStr">
        <is>
          <t>Valve Repair scheduled or reactive task 087</t>
        </is>
      </c>
    </row>
    <row r="89">
      <c r="A89" s="2" t="inlineStr">
        <is>
          <t>WO-2026-0088</t>
        </is>
      </c>
      <c r="B89" s="2" t="inlineStr">
        <is>
          <t>Changi Workshop</t>
        </is>
      </c>
      <c r="C89" s="2" t="inlineStr">
        <is>
          <t>Valve Repair</t>
        </is>
      </c>
      <c r="D89" s="2" t="inlineStr">
        <is>
          <t>Critical</t>
        </is>
      </c>
      <c r="E89" s="2" t="inlineStr">
        <is>
          <t>On Hold</t>
        </is>
      </c>
      <c r="F89" s="2" t="inlineStr">
        <is>
          <t>Hari Kumar</t>
        </is>
      </c>
      <c r="G89" s="6" t="n">
        <v>46283</v>
      </c>
      <c r="H89" s="6" t="n">
        <v>46297</v>
      </c>
      <c r="I89" s="2" t="n"/>
      <c r="J89" s="2" t="n">
        <v>5</v>
      </c>
      <c r="K89" s="2" t="n">
        <v>0</v>
      </c>
      <c r="L89" s="2" t="n">
        <v>409.5</v>
      </c>
      <c r="M89" s="2" t="inlineStr">
        <is>
          <t>Valve Repair scheduled or reactive task 088</t>
        </is>
      </c>
    </row>
    <row r="90">
      <c r="A90" s="2" t="inlineStr">
        <is>
          <t>WO-2026-0089</t>
        </is>
      </c>
      <c r="B90" s="2" t="inlineStr">
        <is>
          <t>Changi Workshop</t>
        </is>
      </c>
      <c r="C90" s="2" t="inlineStr">
        <is>
          <t>Pipe Replacement</t>
        </is>
      </c>
      <c r="D90" s="2" t="inlineStr">
        <is>
          <t>Low</t>
        </is>
      </c>
      <c r="E90" s="2" t="inlineStr">
        <is>
          <t>New</t>
        </is>
      </c>
      <c r="F90" s="2" t="inlineStr">
        <is>
          <t>Aisha Tan</t>
        </is>
      </c>
      <c r="G90" s="6" t="n">
        <v>46282</v>
      </c>
      <c r="H90" s="6" t="n">
        <v>46297</v>
      </c>
      <c r="I90" s="2" t="n"/>
      <c r="J90" s="2" t="n">
        <v>6</v>
      </c>
      <c r="K90" s="2" t="n">
        <v>0</v>
      </c>
      <c r="L90" s="2" t="n">
        <v>445</v>
      </c>
      <c r="M90" s="2" t="inlineStr">
        <is>
          <t>Pipe Replacement scheduled or reactive task 089</t>
        </is>
      </c>
    </row>
    <row r="91">
      <c r="A91" s="2" t="inlineStr">
        <is>
          <t>WO-2026-0090</t>
        </is>
      </c>
      <c r="B91" s="2" t="inlineStr">
        <is>
          <t>Changi Workshop</t>
        </is>
      </c>
      <c r="C91" s="2" t="inlineStr">
        <is>
          <t>Pipe Replacement</t>
        </is>
      </c>
      <c r="D91" s="2" t="inlineStr">
        <is>
          <t>Medium</t>
        </is>
      </c>
      <c r="E91" s="2" t="inlineStr">
        <is>
          <t>Cancelled</t>
        </is>
      </c>
      <c r="F91" s="2" t="inlineStr">
        <is>
          <t>Ben Lim</t>
        </is>
      </c>
      <c r="G91" s="6" t="n">
        <v>46281</v>
      </c>
      <c r="H91" s="6" t="n">
        <v>46297</v>
      </c>
      <c r="I91" s="2" t="n"/>
      <c r="J91" s="2" t="n">
        <v>7</v>
      </c>
      <c r="K91" s="2" t="n">
        <v>0</v>
      </c>
      <c r="L91" s="2" t="n">
        <v>480.5</v>
      </c>
      <c r="M91" s="2" t="inlineStr">
        <is>
          <t>Pipe Replacement scheduled or reactive task 090</t>
        </is>
      </c>
    </row>
    <row r="92">
      <c r="A92" s="2" t="inlineStr">
        <is>
          <t>WO-2026-0091</t>
        </is>
      </c>
      <c r="B92" s="2" t="inlineStr">
        <is>
          <t>Woodlands Hub</t>
        </is>
      </c>
      <c r="C92" s="2" t="inlineStr">
        <is>
          <t>Pipe Replacement</t>
        </is>
      </c>
      <c r="D92" s="2" t="inlineStr">
        <is>
          <t>High</t>
        </is>
      </c>
      <c r="E92" s="2" t="inlineStr">
        <is>
          <t>Closed</t>
        </is>
      </c>
      <c r="F92" s="2" t="inlineStr">
        <is>
          <t>Chloe Goh</t>
        </is>
      </c>
      <c r="G92" s="6" t="n">
        <v>46280</v>
      </c>
      <c r="H92" s="6" t="n">
        <v>46287</v>
      </c>
      <c r="I92" s="6" t="n">
        <v>46288</v>
      </c>
      <c r="J92" s="2" t="n">
        <v>8</v>
      </c>
      <c r="K92" s="2" t="n">
        <v>1</v>
      </c>
      <c r="L92" s="2" t="n">
        <v>516</v>
      </c>
      <c r="M92" s="2" t="inlineStr">
        <is>
          <t>Pipe Replacement scheduled or reactive task 091</t>
        </is>
      </c>
    </row>
    <row r="93">
      <c r="A93" s="2" t="inlineStr">
        <is>
          <t>WO-2026-0092</t>
        </is>
      </c>
      <c r="B93" s="2" t="inlineStr">
        <is>
          <t>Woodlands Hub</t>
        </is>
      </c>
      <c r="C93" s="2" t="inlineStr">
        <is>
          <t>Pipe Replacement</t>
        </is>
      </c>
      <c r="D93" s="2" t="inlineStr">
        <is>
          <t>Critical</t>
        </is>
      </c>
      <c r="E93" s="2" t="inlineStr">
        <is>
          <t>Closed</t>
        </is>
      </c>
      <c r="F93" s="2" t="inlineStr">
        <is>
          <t>Daniel Lee</t>
        </is>
      </c>
      <c r="G93" s="6" t="n">
        <v>46279</v>
      </c>
      <c r="H93" s="6" t="n">
        <v>46287</v>
      </c>
      <c r="I93" s="6" t="n">
        <v>46288</v>
      </c>
      <c r="J93" s="2" t="n">
        <v>2</v>
      </c>
      <c r="K93" s="2" t="n">
        <v>2</v>
      </c>
      <c r="L93" s="2" t="n">
        <v>90</v>
      </c>
      <c r="M93" s="2" t="inlineStr">
        <is>
          <t>Pipe Replacement scheduled or reactive task 092</t>
        </is>
      </c>
    </row>
    <row r="94">
      <c r="A94" s="2" t="inlineStr">
        <is>
          <t>WO-2026-0093</t>
        </is>
      </c>
      <c r="B94" s="2" t="inlineStr">
        <is>
          <t>Woodlands Hub</t>
        </is>
      </c>
      <c r="C94" s="2" t="inlineStr">
        <is>
          <t>Pump Service</t>
        </is>
      </c>
      <c r="D94" s="2" t="inlineStr">
        <is>
          <t>Low</t>
        </is>
      </c>
      <c r="E94" s="2" t="inlineStr">
        <is>
          <t>New</t>
        </is>
      </c>
      <c r="F94" s="2" t="inlineStr">
        <is>
          <t>Elena Ong</t>
        </is>
      </c>
      <c r="G94" s="6" t="n">
        <v>46278</v>
      </c>
      <c r="H94" s="6" t="n">
        <v>46287</v>
      </c>
      <c r="I94" s="2" t="n"/>
      <c r="J94" s="2" t="n">
        <v>3</v>
      </c>
      <c r="K94" s="2" t="n">
        <v>0</v>
      </c>
      <c r="L94" s="2" t="n">
        <v>125.5</v>
      </c>
      <c r="M94" s="2" t="inlineStr">
        <is>
          <t>Pump Service scheduled or reactive task 093</t>
        </is>
      </c>
    </row>
    <row r="95">
      <c r="A95" s="2" t="inlineStr">
        <is>
          <t>WO-2026-0094</t>
        </is>
      </c>
      <c r="B95" s="2" t="inlineStr">
        <is>
          <t>Jurong Depot</t>
        </is>
      </c>
      <c r="C95" s="2" t="inlineStr">
        <is>
          <t>Pump Service</t>
        </is>
      </c>
      <c r="D95" s="2" t="inlineStr">
        <is>
          <t>Medium</t>
        </is>
      </c>
      <c r="E95" s="2" t="inlineStr">
        <is>
          <t>Assigned</t>
        </is>
      </c>
      <c r="F95" s="2" t="inlineStr">
        <is>
          <t>Farid Rahman</t>
        </is>
      </c>
      <c r="G95" s="6" t="n">
        <v>46277</v>
      </c>
      <c r="H95" s="6" t="n">
        <v>46287</v>
      </c>
      <c r="I95" s="2" t="n"/>
      <c r="J95" s="2" t="n">
        <v>4</v>
      </c>
      <c r="K95" s="2" t="n">
        <v>0</v>
      </c>
      <c r="L95" s="2" t="n">
        <v>161</v>
      </c>
      <c r="M95" s="2" t="inlineStr">
        <is>
          <t>Pump Service scheduled or reactive task 094</t>
        </is>
      </c>
    </row>
    <row r="96">
      <c r="A96" s="2" t="inlineStr">
        <is>
          <t>WO-2026-0095</t>
        </is>
      </c>
      <c r="B96" s="2" t="inlineStr">
        <is>
          <t>Jurong Depot</t>
        </is>
      </c>
      <c r="C96" s="2" t="inlineStr">
        <is>
          <t>Pump Service</t>
        </is>
      </c>
      <c r="D96" s="2" t="inlineStr">
        <is>
          <t>High</t>
        </is>
      </c>
      <c r="E96" s="2" t="inlineStr">
        <is>
          <t>In Progress</t>
        </is>
      </c>
      <c r="F96" s="2" t="inlineStr">
        <is>
          <t>Grace Ng</t>
        </is>
      </c>
      <c r="G96" s="6" t="n">
        <v>46276</v>
      </c>
      <c r="H96" s="6" t="n">
        <v>46287</v>
      </c>
      <c r="I96" s="2" t="n"/>
      <c r="J96" s="2" t="n">
        <v>5</v>
      </c>
      <c r="K96" s="2" t="n">
        <v>0</v>
      </c>
      <c r="L96" s="2" t="n">
        <v>196.5</v>
      </c>
      <c r="M96" s="2" t="inlineStr">
        <is>
          <t>Pump Service scheduled or reactive task 095</t>
        </is>
      </c>
    </row>
    <row r="97">
      <c r="A97" s="2" t="inlineStr">
        <is>
          <t>WO-2026-0096</t>
        </is>
      </c>
      <c r="B97" s="2" t="inlineStr">
        <is>
          <t>Jurong Depot</t>
        </is>
      </c>
      <c r="C97" s="2" t="inlineStr">
        <is>
          <t>Pump Service</t>
        </is>
      </c>
      <c r="D97" s="2" t="inlineStr">
        <is>
          <t>Critical</t>
        </is>
      </c>
      <c r="E97" s="2" t="inlineStr">
        <is>
          <t>Closed</t>
        </is>
      </c>
      <c r="F97" s="2" t="inlineStr">
        <is>
          <t>Hari Kumar</t>
        </is>
      </c>
      <c r="G97" s="6" t="n">
        <v>46275</v>
      </c>
      <c r="H97" s="6" t="n">
        <v>46287</v>
      </c>
      <c r="I97" s="6" t="n">
        <v>46289</v>
      </c>
      <c r="J97" s="2" t="n">
        <v>6</v>
      </c>
      <c r="K97" s="2" t="n">
        <v>6</v>
      </c>
      <c r="L97" s="2" t="n">
        <v>232</v>
      </c>
      <c r="M97" s="2" t="inlineStr">
        <is>
          <t>Pump Service scheduled or reactive task 096</t>
        </is>
      </c>
    </row>
    <row r="98">
      <c r="A98" s="2" t="inlineStr">
        <is>
          <t>WO-2026-0097</t>
        </is>
      </c>
      <c r="B98" s="2" t="inlineStr">
        <is>
          <t>Tampines Centre</t>
        </is>
      </c>
      <c r="C98" s="2" t="inlineStr">
        <is>
          <t>Meter Service</t>
        </is>
      </c>
      <c r="D98" s="2" t="inlineStr">
        <is>
          <t>Low</t>
        </is>
      </c>
      <c r="E98" s="2" t="inlineStr">
        <is>
          <t>Closed</t>
        </is>
      </c>
      <c r="F98" s="2" t="inlineStr">
        <is>
          <t>Aisha Tan</t>
        </is>
      </c>
      <c r="G98" s="6" t="n">
        <v>46274</v>
      </c>
      <c r="H98" s="6" t="n">
        <v>46287</v>
      </c>
      <c r="I98" s="6" t="n">
        <v>46289</v>
      </c>
      <c r="J98" s="2" t="n">
        <v>7</v>
      </c>
      <c r="K98" s="2" t="n">
        <v>7</v>
      </c>
      <c r="L98" s="2" t="n">
        <v>267.5</v>
      </c>
      <c r="M98" s="2" t="inlineStr">
        <is>
          <t>Meter Service scheduled or reactive task 097</t>
        </is>
      </c>
    </row>
    <row r="99">
      <c r="A99" s="2" t="inlineStr">
        <is>
          <t>WO-2026-0098</t>
        </is>
      </c>
      <c r="B99" s="2" t="inlineStr">
        <is>
          <t>Tampines Centre</t>
        </is>
      </c>
      <c r="C99" s="2" t="inlineStr">
        <is>
          <t>Meter Service</t>
        </is>
      </c>
      <c r="D99" s="2" t="inlineStr">
        <is>
          <t>Medium</t>
        </is>
      </c>
      <c r="E99" s="2" t="inlineStr">
        <is>
          <t>Assigned</t>
        </is>
      </c>
      <c r="F99" s="2" t="inlineStr">
        <is>
          <t>Ben Lim</t>
        </is>
      </c>
      <c r="G99" s="6" t="n">
        <v>46273</v>
      </c>
      <c r="H99" s="6" t="n">
        <v>46287</v>
      </c>
      <c r="I99" s="2" t="n"/>
      <c r="J99" s="2" t="n">
        <v>8</v>
      </c>
      <c r="K99" s="2" t="n">
        <v>0</v>
      </c>
      <c r="L99" s="2" t="n">
        <v>303</v>
      </c>
      <c r="M99" s="2" t="inlineStr">
        <is>
          <t>Meter Service scheduled or reactive task 098</t>
        </is>
      </c>
    </row>
    <row r="100">
      <c r="A100" s="2" t="inlineStr">
        <is>
          <t>WO-2026-0099</t>
        </is>
      </c>
      <c r="B100" s="2" t="inlineStr">
        <is>
          <t>Tampines Centre</t>
        </is>
      </c>
      <c r="C100" s="2" t="inlineStr">
        <is>
          <t>Meter Service</t>
        </is>
      </c>
      <c r="D100" s="2" t="inlineStr">
        <is>
          <t>High</t>
        </is>
      </c>
      <c r="E100" s="2" t="inlineStr">
        <is>
          <t>In Progress</t>
        </is>
      </c>
      <c r="F100" s="2" t="inlineStr">
        <is>
          <t>Chloe Goh</t>
        </is>
      </c>
      <c r="G100" s="6" t="n">
        <v>46272</v>
      </c>
      <c r="H100" s="6" t="n">
        <v>46287</v>
      </c>
      <c r="I100" s="2" t="n"/>
      <c r="J100" s="2" t="n">
        <v>2</v>
      </c>
      <c r="K100" s="2" t="n">
        <v>0</v>
      </c>
      <c r="L100" s="2" t="n">
        <v>338.5</v>
      </c>
      <c r="M100" s="2" t="inlineStr">
        <is>
          <t>Meter Service scheduled or reactive task 099</t>
        </is>
      </c>
    </row>
    <row r="101">
      <c r="A101" s="2" t="inlineStr">
        <is>
          <t>WO-2026-0100</t>
        </is>
      </c>
      <c r="B101" s="2" t="inlineStr">
        <is>
          <t>Paya Lebar Office</t>
        </is>
      </c>
      <c r="C101" s="2" t="inlineStr">
        <is>
          <t>Meter Service</t>
        </is>
      </c>
      <c r="D101" s="2" t="inlineStr">
        <is>
          <t>Critical</t>
        </is>
      </c>
      <c r="E101" s="2" t="inlineStr">
        <is>
          <t>Cancelled</t>
        </is>
      </c>
      <c r="F101" s="2" t="inlineStr">
        <is>
          <t>Daniel Lee</t>
        </is>
      </c>
      <c r="G101" s="6" t="n">
        <v>46271</v>
      </c>
      <c r="H101" s="6" t="n">
        <v>46287</v>
      </c>
      <c r="I101" s="2" t="n"/>
      <c r="J101" s="2" t="n">
        <v>3</v>
      </c>
      <c r="K101" s="2" t="n">
        <v>0</v>
      </c>
      <c r="L101" s="2" t="n">
        <v>374</v>
      </c>
      <c r="M101" s="2" t="inlineStr">
        <is>
          <t>Meter Service scheduled or reactive task 100</t>
        </is>
      </c>
    </row>
    <row r="102">
      <c r="A102" s="2" t="inlineStr">
        <is>
          <t>WO-2026-0101</t>
        </is>
      </c>
      <c r="B102" s="2" t="inlineStr">
        <is>
          <t>Paya Lebar Office</t>
        </is>
      </c>
      <c r="C102" s="2" t="inlineStr">
        <is>
          <t>Leak Repair</t>
        </is>
      </c>
      <c r="D102" s="2" t="inlineStr">
        <is>
          <t>Low</t>
        </is>
      </c>
      <c r="E102" s="2" t="inlineStr">
        <is>
          <t>Closed</t>
        </is>
      </c>
      <c r="F102" s="2" t="inlineStr">
        <is>
          <t>Elena Ong</t>
        </is>
      </c>
      <c r="G102" s="6" t="n">
        <v>46270</v>
      </c>
      <c r="H102" s="6" t="n">
        <v>46277</v>
      </c>
      <c r="I102" s="6" t="n">
        <v>46275</v>
      </c>
      <c r="J102" s="2" t="n">
        <v>4</v>
      </c>
      <c r="K102" s="2" t="n">
        <v>2</v>
      </c>
      <c r="L102" s="2" t="n">
        <v>409.5</v>
      </c>
      <c r="M102" s="2" t="inlineStr">
        <is>
          <t>Leak Repair scheduled or reactive task 101</t>
        </is>
      </c>
    </row>
    <row r="103">
      <c r="A103" s="2" t="inlineStr">
        <is>
          <t>WO-2026-0102</t>
        </is>
      </c>
      <c r="B103" s="2" t="inlineStr">
        <is>
          <t>Paya Lebar Office</t>
        </is>
      </c>
      <c r="C103" s="2" t="inlineStr">
        <is>
          <t>Leak Repair</t>
        </is>
      </c>
      <c r="D103" s="2" t="inlineStr">
        <is>
          <t>Medium</t>
        </is>
      </c>
      <c r="E103" s="2" t="inlineStr">
        <is>
          <t>Closed</t>
        </is>
      </c>
      <c r="F103" s="2" t="inlineStr">
        <is>
          <t>Farid Rahman</t>
        </is>
      </c>
      <c r="G103" s="6" t="n">
        <v>46269</v>
      </c>
      <c r="H103" s="6" t="n">
        <v>46277</v>
      </c>
      <c r="I103" s="6" t="n">
        <v>46275</v>
      </c>
      <c r="J103" s="2" t="n">
        <v>5</v>
      </c>
      <c r="K103" s="2" t="n">
        <v>3</v>
      </c>
      <c r="L103" s="2" t="n">
        <v>445</v>
      </c>
      <c r="M103" s="2" t="inlineStr">
        <is>
          <t>Leak Repair scheduled or reactive task 102</t>
        </is>
      </c>
    </row>
    <row r="104">
      <c r="A104" s="2" t="inlineStr">
        <is>
          <t>WO-2026-0103</t>
        </is>
      </c>
      <c r="B104" s="2" t="inlineStr">
        <is>
          <t>Changi Workshop</t>
        </is>
      </c>
      <c r="C104" s="2" t="inlineStr">
        <is>
          <t>Leak Repair</t>
        </is>
      </c>
      <c r="D104" s="2" t="inlineStr">
        <is>
          <t>High</t>
        </is>
      </c>
      <c r="E104" s="2" t="inlineStr">
        <is>
          <t>In Progress</t>
        </is>
      </c>
      <c r="F104" s="2" t="inlineStr">
        <is>
          <t>Grace Ng</t>
        </is>
      </c>
      <c r="G104" s="6" t="n">
        <v>46268</v>
      </c>
      <c r="H104" s="6" t="n">
        <v>46277</v>
      </c>
      <c r="I104" s="2" t="n"/>
      <c r="J104" s="2" t="n">
        <v>6</v>
      </c>
      <c r="K104" s="2" t="n">
        <v>0</v>
      </c>
      <c r="L104" s="2" t="n">
        <v>480.5</v>
      </c>
      <c r="M104" s="2" t="inlineStr">
        <is>
          <t>Leak Repair scheduled or reactive task 103</t>
        </is>
      </c>
    </row>
    <row r="105">
      <c r="A105" s="2" t="inlineStr">
        <is>
          <t>WO-2026-0104</t>
        </is>
      </c>
      <c r="B105" s="2" t="inlineStr">
        <is>
          <t>Changi Workshop</t>
        </is>
      </c>
      <c r="C105" s="2" t="inlineStr">
        <is>
          <t>Leak Repair</t>
        </is>
      </c>
      <c r="D105" s="2" t="inlineStr">
        <is>
          <t>Critical</t>
        </is>
      </c>
      <c r="E105" s="2" t="inlineStr">
        <is>
          <t>On Hold</t>
        </is>
      </c>
      <c r="F105" s="2" t="inlineStr">
        <is>
          <t>Hari Kumar</t>
        </is>
      </c>
      <c r="G105" s="6" t="n">
        <v>46267</v>
      </c>
      <c r="H105" s="6" t="n">
        <v>46277</v>
      </c>
      <c r="I105" s="2" t="n"/>
      <c r="J105" s="2" t="n">
        <v>7</v>
      </c>
      <c r="K105" s="2" t="n">
        <v>0</v>
      </c>
      <c r="L105" s="2" t="n">
        <v>516</v>
      </c>
      <c r="M105" s="2" t="inlineStr">
        <is>
          <t>Leak Repair scheduled or reactive task 104</t>
        </is>
      </c>
    </row>
    <row r="106">
      <c r="A106" s="2" t="inlineStr">
        <is>
          <t>WO-2026-0105</t>
        </is>
      </c>
      <c r="B106" s="2" t="inlineStr">
        <is>
          <t>Changi Workshop</t>
        </is>
      </c>
      <c r="C106" s="2" t="inlineStr">
        <is>
          <t>Valve Repair</t>
        </is>
      </c>
      <c r="D106" s="2" t="inlineStr">
        <is>
          <t>Low</t>
        </is>
      </c>
      <c r="E106" s="2" t="inlineStr">
        <is>
          <t>New</t>
        </is>
      </c>
      <c r="F106" s="2" t="inlineStr">
        <is>
          <t>Aisha Tan</t>
        </is>
      </c>
      <c r="G106" s="6" t="n">
        <v>46266</v>
      </c>
      <c r="H106" s="6" t="n">
        <v>46277</v>
      </c>
      <c r="I106" s="2" t="n"/>
      <c r="J106" s="2" t="n">
        <v>8</v>
      </c>
      <c r="K106" s="2" t="n">
        <v>0</v>
      </c>
      <c r="L106" s="2" t="n">
        <v>90</v>
      </c>
      <c r="M106" s="2" t="inlineStr">
        <is>
          <t>Valve Repair scheduled or reactive task 105</t>
        </is>
      </c>
    </row>
    <row r="107">
      <c r="A107" s="2" t="inlineStr">
        <is>
          <t>WO-2026-0106</t>
        </is>
      </c>
      <c r="B107" s="2" t="inlineStr">
        <is>
          <t>Woodlands Hub</t>
        </is>
      </c>
      <c r="C107" s="2" t="inlineStr">
        <is>
          <t>Valve Repair</t>
        </is>
      </c>
      <c r="D107" s="2" t="inlineStr">
        <is>
          <t>Medium</t>
        </is>
      </c>
      <c r="E107" s="2" t="inlineStr">
        <is>
          <t>Closed</t>
        </is>
      </c>
      <c r="F107" s="2" t="inlineStr">
        <is>
          <t>Ben Lim</t>
        </is>
      </c>
      <c r="G107" s="6" t="n">
        <v>46265</v>
      </c>
      <c r="H107" s="6" t="n">
        <v>46277</v>
      </c>
      <c r="I107" s="6" t="n">
        <v>46276</v>
      </c>
      <c r="J107" s="2" t="n">
        <v>2</v>
      </c>
      <c r="K107" s="2" t="n">
        <v>7</v>
      </c>
      <c r="L107" s="2" t="n">
        <v>125.5</v>
      </c>
      <c r="M107" s="2" t="inlineStr">
        <is>
          <t>Valve Repair scheduled or reactive task 106</t>
        </is>
      </c>
    </row>
    <row r="108">
      <c r="A108" s="2" t="inlineStr">
        <is>
          <t>WO-2026-0107</t>
        </is>
      </c>
      <c r="B108" s="2" t="inlineStr">
        <is>
          <t>Woodlands Hub</t>
        </is>
      </c>
      <c r="C108" s="2" t="inlineStr">
        <is>
          <t>Valve Repair</t>
        </is>
      </c>
      <c r="D108" s="2" t="inlineStr">
        <is>
          <t>High</t>
        </is>
      </c>
      <c r="E108" s="2" t="inlineStr">
        <is>
          <t>Closed</t>
        </is>
      </c>
      <c r="F108" s="2" t="inlineStr">
        <is>
          <t>Chloe Goh</t>
        </is>
      </c>
      <c r="G108" s="6" t="n">
        <v>46264</v>
      </c>
      <c r="H108" s="6" t="n">
        <v>46277</v>
      </c>
      <c r="I108" s="6" t="n">
        <v>46276</v>
      </c>
      <c r="J108" s="2" t="n">
        <v>3</v>
      </c>
      <c r="K108" s="2" t="n">
        <v>8</v>
      </c>
      <c r="L108" s="2" t="n">
        <v>161</v>
      </c>
      <c r="M108" s="2" t="inlineStr">
        <is>
          <t>Valve Repair scheduled or reactive task 107</t>
        </is>
      </c>
    </row>
    <row r="109">
      <c r="A109" s="2" t="inlineStr">
        <is>
          <t>WO-2026-0108</t>
        </is>
      </c>
      <c r="B109" s="2" t="inlineStr">
        <is>
          <t>Woodlands Hub</t>
        </is>
      </c>
      <c r="C109" s="2" t="inlineStr">
        <is>
          <t>Valve Repair</t>
        </is>
      </c>
      <c r="D109" s="2" t="inlineStr">
        <is>
          <t>Critical</t>
        </is>
      </c>
      <c r="E109" s="2" t="inlineStr">
        <is>
          <t>On Hold</t>
        </is>
      </c>
      <c r="F109" s="2" t="inlineStr">
        <is>
          <t>Daniel Lee</t>
        </is>
      </c>
      <c r="G109" s="6" t="n">
        <v>46263</v>
      </c>
      <c r="H109" s="6" t="n">
        <v>46277</v>
      </c>
      <c r="I109" s="2" t="n"/>
      <c r="J109" s="2" t="n">
        <v>4</v>
      </c>
      <c r="K109" s="2" t="n">
        <v>0</v>
      </c>
      <c r="L109" s="2" t="n">
        <v>196.5</v>
      </c>
      <c r="M109" s="2" t="inlineStr">
        <is>
          <t>Valve Repair scheduled or reactive task 108</t>
        </is>
      </c>
    </row>
    <row r="110">
      <c r="A110" s="2" t="inlineStr">
        <is>
          <t>WO-2026-0109</t>
        </is>
      </c>
      <c r="B110" s="2" t="inlineStr">
        <is>
          <t>Jurong Depot</t>
        </is>
      </c>
      <c r="C110" s="2" t="inlineStr">
        <is>
          <t>Pipe Replacement</t>
        </is>
      </c>
      <c r="D110" s="2" t="inlineStr">
        <is>
          <t>Low</t>
        </is>
      </c>
      <c r="E110" s="2" t="inlineStr">
        <is>
          <t>New</t>
        </is>
      </c>
      <c r="F110" s="2" t="n"/>
      <c r="G110" s="6" t="n">
        <v>46262</v>
      </c>
      <c r="H110" s="6" t="n">
        <v>46277</v>
      </c>
      <c r="I110" s="2" t="n"/>
      <c r="J110" s="2" t="n">
        <v>5</v>
      </c>
      <c r="K110" s="2" t="n">
        <v>0</v>
      </c>
      <c r="L110" s="2" t="n">
        <v>232</v>
      </c>
      <c r="M110" s="2" t="inlineStr">
        <is>
          <t>Pipe Replacement scheduled or reactive task 109</t>
        </is>
      </c>
    </row>
    <row r="111">
      <c r="A111" s="2" t="inlineStr">
        <is>
          <t>WO-2026-0110</t>
        </is>
      </c>
      <c r="B111" s="2" t="inlineStr">
        <is>
          <t>Jurong Depot</t>
        </is>
      </c>
      <c r="C111" s="2" t="inlineStr">
        <is>
          <t>Pipe Replacement</t>
        </is>
      </c>
      <c r="D111" s="2" t="inlineStr">
        <is>
          <t>Medium</t>
        </is>
      </c>
      <c r="E111" s="2" t="inlineStr">
        <is>
          <t>Cancelled</t>
        </is>
      </c>
      <c r="F111" s="2" t="inlineStr">
        <is>
          <t>Farid Rahman</t>
        </is>
      </c>
      <c r="G111" s="6" t="n">
        <v>46261</v>
      </c>
      <c r="H111" s="6" t="n">
        <v>46277</v>
      </c>
      <c r="I111" s="2" t="n"/>
      <c r="J111" s="2" t="n">
        <v>6</v>
      </c>
      <c r="K111" s="2" t="n">
        <v>0</v>
      </c>
      <c r="L111" s="2" t="n">
        <v>267.5</v>
      </c>
      <c r="M111" s="2" t="inlineStr">
        <is>
          <t>Pipe Replacement scheduled or reactive task 110</t>
        </is>
      </c>
    </row>
    <row r="112">
      <c r="A112" s="2" t="inlineStr">
        <is>
          <t>WO-2026-0111</t>
        </is>
      </c>
      <c r="B112" s="2" t="inlineStr">
        <is>
          <t>Jurong Depot</t>
        </is>
      </c>
      <c r="C112" s="2" t="inlineStr">
        <is>
          <t>Pipe Replacement</t>
        </is>
      </c>
      <c r="D112" s="2" t="inlineStr">
        <is>
          <t>High</t>
        </is>
      </c>
      <c r="E112" s="2" t="inlineStr">
        <is>
          <t>Closed</t>
        </is>
      </c>
      <c r="F112" s="2" t="inlineStr">
        <is>
          <t>Grace Ng</t>
        </is>
      </c>
      <c r="G112" s="6" t="n">
        <v>46260</v>
      </c>
      <c r="H112" s="6" t="n">
        <v>46267</v>
      </c>
      <c r="I112" s="6" t="n">
        <v>46267</v>
      </c>
      <c r="J112" s="2" t="n">
        <v>7</v>
      </c>
      <c r="K112" s="2" t="n">
        <v>3</v>
      </c>
      <c r="L112" s="2" t="n">
        <v>303</v>
      </c>
      <c r="M112" s="2" t="inlineStr">
        <is>
          <t>Pipe Replacement scheduled or reactive task 111</t>
        </is>
      </c>
    </row>
    <row r="113">
      <c r="A113" s="2" t="inlineStr">
        <is>
          <t>WO-2026-0112</t>
        </is>
      </c>
      <c r="B113" s="2" t="inlineStr">
        <is>
          <t>Tampines Centre</t>
        </is>
      </c>
      <c r="C113" s="2" t="inlineStr">
        <is>
          <t>Pipe Replacement</t>
        </is>
      </c>
      <c r="D113" s="2" t="inlineStr">
        <is>
          <t>Critical</t>
        </is>
      </c>
      <c r="E113" s="2" t="inlineStr">
        <is>
          <t>Closed</t>
        </is>
      </c>
      <c r="F113" s="2" t="inlineStr">
        <is>
          <t>Hari Kumar</t>
        </is>
      </c>
      <c r="G113" s="6" t="n">
        <v>46259</v>
      </c>
      <c r="H113" s="6" t="n">
        <v>46267</v>
      </c>
      <c r="I113" s="6" t="n">
        <v>46267</v>
      </c>
      <c r="J113" s="2" t="n">
        <v>8</v>
      </c>
      <c r="K113" s="2" t="n">
        <v>4</v>
      </c>
      <c r="L113" s="2" t="n">
        <v>338.5</v>
      </c>
      <c r="M113" s="2" t="inlineStr">
        <is>
          <t>Pipe Replacement scheduled or reactive task 112</t>
        </is>
      </c>
    </row>
    <row r="114">
      <c r="A114" s="2" t="inlineStr">
        <is>
          <t>WO-2026-0113</t>
        </is>
      </c>
      <c r="B114" s="2" t="inlineStr">
        <is>
          <t>Tampines Centre</t>
        </is>
      </c>
      <c r="C114" s="2" t="inlineStr">
        <is>
          <t>Pump Service</t>
        </is>
      </c>
      <c r="D114" s="2" t="inlineStr">
        <is>
          <t>Low</t>
        </is>
      </c>
      <c r="E114" s="2" t="inlineStr">
        <is>
          <t>New</t>
        </is>
      </c>
      <c r="F114" s="2" t="inlineStr">
        <is>
          <t>Aisha Tan</t>
        </is>
      </c>
      <c r="G114" s="6" t="n">
        <v>46258</v>
      </c>
      <c r="H114" s="6" t="n">
        <v>46267</v>
      </c>
      <c r="I114" s="2" t="n"/>
      <c r="J114" s="2" t="n">
        <v>2</v>
      </c>
      <c r="K114" s="2" t="n">
        <v>0</v>
      </c>
      <c r="L114" s="2" t="n">
        <v>374</v>
      </c>
      <c r="M114" s="2" t="inlineStr">
        <is>
          <t>Pump Service scheduled or reactive task 113</t>
        </is>
      </c>
    </row>
    <row r="115">
      <c r="A115" s="2" t="inlineStr">
        <is>
          <t>WO-2026-0114</t>
        </is>
      </c>
      <c r="B115" s="2" t="inlineStr">
        <is>
          <t>Tampines Centre</t>
        </is>
      </c>
      <c r="C115" s="2" t="inlineStr">
        <is>
          <t>Pump Service</t>
        </is>
      </c>
      <c r="D115" s="2" t="inlineStr">
        <is>
          <t>Medium</t>
        </is>
      </c>
      <c r="E115" s="2" t="inlineStr">
        <is>
          <t>Assigned</t>
        </is>
      </c>
      <c r="F115" s="2" t="inlineStr">
        <is>
          <t>Ben Lim</t>
        </is>
      </c>
      <c r="G115" s="6" t="n">
        <v>46257</v>
      </c>
      <c r="H115" s="6" t="n">
        <v>46267</v>
      </c>
      <c r="I115" s="2" t="n"/>
      <c r="J115" s="2" t="n">
        <v>3</v>
      </c>
      <c r="K115" s="2" t="n">
        <v>0</v>
      </c>
      <c r="L115" s="2" t="n">
        <v>409.5</v>
      </c>
      <c r="M115" s="2" t="inlineStr">
        <is>
          <t>Pump Service scheduled or reactive task 114</t>
        </is>
      </c>
    </row>
    <row r="116">
      <c r="A116" s="2" t="inlineStr">
        <is>
          <t>WO-2026-0115</t>
        </is>
      </c>
      <c r="B116" s="2" t="inlineStr">
        <is>
          <t>Paya Lebar Office</t>
        </is>
      </c>
      <c r="C116" s="2" t="inlineStr">
        <is>
          <t>Pump Service</t>
        </is>
      </c>
      <c r="D116" s="2" t="inlineStr">
        <is>
          <t>High</t>
        </is>
      </c>
      <c r="E116" s="2" t="inlineStr">
        <is>
          <t>In Progress</t>
        </is>
      </c>
      <c r="F116" s="2" t="inlineStr">
        <is>
          <t>Chloe Goh</t>
        </is>
      </c>
      <c r="G116" s="6" t="n">
        <v>46256</v>
      </c>
      <c r="H116" s="6" t="n">
        <v>46267</v>
      </c>
      <c r="I116" s="2" t="n"/>
      <c r="J116" s="2" t="n">
        <v>4</v>
      </c>
      <c r="K116" s="2" t="n">
        <v>0</v>
      </c>
      <c r="L116" s="2" t="n">
        <v>445</v>
      </c>
      <c r="M116" s="2" t="inlineStr">
        <is>
          <t>Pump Service scheduled or reactive task 115</t>
        </is>
      </c>
    </row>
    <row r="117">
      <c r="A117" s="2" t="inlineStr">
        <is>
          <t>WO-2026-0116</t>
        </is>
      </c>
      <c r="B117" s="2" t="inlineStr">
        <is>
          <t>Paya Lebar Office</t>
        </is>
      </c>
      <c r="C117" s="2" t="inlineStr">
        <is>
          <t>Pump Service</t>
        </is>
      </c>
      <c r="D117" s="2" t="inlineStr">
        <is>
          <t>Critical</t>
        </is>
      </c>
      <c r="E117" s="2" t="inlineStr">
        <is>
          <t>Closed</t>
        </is>
      </c>
      <c r="F117" s="2" t="inlineStr">
        <is>
          <t>Daniel Lee</t>
        </is>
      </c>
      <c r="G117" s="6" t="n">
        <v>46255</v>
      </c>
      <c r="H117" s="6" t="n">
        <v>46267</v>
      </c>
      <c r="I117" s="6" t="n">
        <v>46268</v>
      </c>
      <c r="J117" s="2" t="n">
        <v>5</v>
      </c>
      <c r="K117" s="2" t="n">
        <v>8</v>
      </c>
      <c r="L117" s="2" t="n">
        <v>480.5</v>
      </c>
      <c r="M117" s="2" t="inlineStr">
        <is>
          <t>Pump Service scheduled or reactive task 116</t>
        </is>
      </c>
    </row>
    <row r="118">
      <c r="A118" s="2" t="inlineStr">
        <is>
          <t>WO-2026-0117</t>
        </is>
      </c>
      <c r="B118" s="2" t="inlineStr">
        <is>
          <t>Paya Lebar Office</t>
        </is>
      </c>
      <c r="C118" s="2" t="inlineStr">
        <is>
          <t>Meter Service</t>
        </is>
      </c>
      <c r="D118" s="2" t="inlineStr">
        <is>
          <t>Low</t>
        </is>
      </c>
      <c r="E118" s="2" t="inlineStr">
        <is>
          <t>Closed</t>
        </is>
      </c>
      <c r="F118" s="2" t="inlineStr">
        <is>
          <t>Elena Ong</t>
        </is>
      </c>
      <c r="G118" s="6" t="n">
        <v>46254</v>
      </c>
      <c r="H118" s="6" t="n">
        <v>46267</v>
      </c>
      <c r="I118" s="6" t="n">
        <v>46268</v>
      </c>
      <c r="J118" s="2" t="n">
        <v>6</v>
      </c>
      <c r="K118" s="2" t="n">
        <v>9</v>
      </c>
      <c r="L118" s="2" t="n">
        <v>516</v>
      </c>
      <c r="M118" s="2" t="inlineStr">
        <is>
          <t>Meter Service scheduled or reactive task 117</t>
        </is>
      </c>
    </row>
    <row r="119">
      <c r="A119" s="2" t="inlineStr">
        <is>
          <t>WO-2026-0118</t>
        </is>
      </c>
      <c r="B119" s="2" t="inlineStr">
        <is>
          <t>Changi Workshop</t>
        </is>
      </c>
      <c r="C119" s="2" t="inlineStr">
        <is>
          <t>Meter Service</t>
        </is>
      </c>
      <c r="D119" s="2" t="inlineStr">
        <is>
          <t>Medium</t>
        </is>
      </c>
      <c r="E119" s="2" t="inlineStr">
        <is>
          <t>Assigned</t>
        </is>
      </c>
      <c r="F119" s="2" t="inlineStr">
        <is>
          <t>Farid Rahman</t>
        </is>
      </c>
      <c r="G119" s="6" t="n">
        <v>46253</v>
      </c>
      <c r="H119" s="6" t="n">
        <v>46267</v>
      </c>
      <c r="I119" s="2" t="n"/>
      <c r="J119" s="2" t="n">
        <v>7</v>
      </c>
      <c r="K119" s="2" t="n">
        <v>0</v>
      </c>
      <c r="L119" s="2" t="n">
        <v>90</v>
      </c>
      <c r="M119" s="2" t="inlineStr">
        <is>
          <t>Meter Service scheduled or reactive task 118</t>
        </is>
      </c>
    </row>
    <row r="120">
      <c r="A120" s="2" t="inlineStr">
        <is>
          <t>WO-2026-0119</t>
        </is>
      </c>
      <c r="B120" s="2" t="inlineStr">
        <is>
          <t>Changi Workshop</t>
        </is>
      </c>
      <c r="C120" s="2" t="inlineStr">
        <is>
          <t>Meter Service</t>
        </is>
      </c>
      <c r="D120" s="2" t="inlineStr">
        <is>
          <t>High</t>
        </is>
      </c>
      <c r="E120" s="2" t="inlineStr">
        <is>
          <t>In Progress</t>
        </is>
      </c>
      <c r="F120" s="2" t="inlineStr">
        <is>
          <t>Grace Ng</t>
        </is>
      </c>
      <c r="G120" s="6" t="n">
        <v>46252</v>
      </c>
      <c r="H120" s="6" t="n">
        <v>46267</v>
      </c>
      <c r="I120" s="2" t="n"/>
      <c r="J120" s="2" t="n">
        <v>8</v>
      </c>
      <c r="K120" s="2" t="n">
        <v>0</v>
      </c>
      <c r="L120" s="2" t="n">
        <v>125.5</v>
      </c>
      <c r="M120" s="2" t="inlineStr">
        <is>
          <t>Meter Service scheduled or reactive task 119</t>
        </is>
      </c>
    </row>
    <row r="121">
      <c r="A121" s="2" t="inlineStr">
        <is>
          <t>WO-2026-0120</t>
        </is>
      </c>
      <c r="B121" s="2" t="inlineStr">
        <is>
          <t>Changi Workshop</t>
        </is>
      </c>
      <c r="C121" s="2" t="inlineStr">
        <is>
          <t>Meter Service</t>
        </is>
      </c>
      <c r="D121" s="2" t="inlineStr">
        <is>
          <t>Critical</t>
        </is>
      </c>
      <c r="E121" s="2" t="inlineStr">
        <is>
          <t>Cancelled</t>
        </is>
      </c>
      <c r="F121" s="2" t="inlineStr">
        <is>
          <t>Hari Kumar</t>
        </is>
      </c>
      <c r="G121" s="6" t="n">
        <v>46251</v>
      </c>
      <c r="H121" s="6" t="n">
        <v>46267</v>
      </c>
      <c r="I121" s="2" t="n"/>
      <c r="J121" s="2" t="n">
        <v>2</v>
      </c>
      <c r="K121" s="2" t="n">
        <v>0</v>
      </c>
      <c r="L121" s="2" t="n">
        <v>161</v>
      </c>
      <c r="M121" s="2" t="inlineStr">
        <is>
          <t>Meter Service scheduled or reactive task 120</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Technician</t>
        </is>
      </c>
      <c r="B1" s="1" t="inlineStr">
        <is>
          <t>Primary_Category</t>
        </is>
      </c>
      <c r="C1" s="1" t="inlineStr">
        <is>
          <t>Available_Hours_Week</t>
        </is>
      </c>
      <c r="D1" s="1" t="inlineStr">
        <is>
          <t>Home_Site</t>
        </is>
      </c>
    </row>
    <row r="2">
      <c r="A2" s="2" t="inlineStr">
        <is>
          <t>Aisha Tan</t>
        </is>
      </c>
      <c r="B2" s="2" t="inlineStr">
        <is>
          <t>Leak Repair</t>
        </is>
      </c>
      <c r="C2" s="2" t="n">
        <v>35</v>
      </c>
      <c r="D2" s="2" t="inlineStr">
        <is>
          <t>Woodlands Hub</t>
        </is>
      </c>
    </row>
    <row r="3">
      <c r="A3" s="2" t="inlineStr">
        <is>
          <t>Ben Lim</t>
        </is>
      </c>
      <c r="B3" s="2" t="inlineStr">
        <is>
          <t>Leak Repair</t>
        </is>
      </c>
      <c r="C3" s="2" t="n">
        <v>30</v>
      </c>
      <c r="D3" s="2" t="inlineStr">
        <is>
          <t>Jurong Depot</t>
        </is>
      </c>
    </row>
    <row r="4">
      <c r="A4" s="2" t="inlineStr">
        <is>
          <t>Chloe Goh</t>
        </is>
      </c>
      <c r="B4" s="2" t="inlineStr">
        <is>
          <t>Leak Repair</t>
        </is>
      </c>
      <c r="C4" s="2" t="n">
        <v>35</v>
      </c>
      <c r="D4" s="2" t="inlineStr">
        <is>
          <t>Tampines Centre</t>
        </is>
      </c>
    </row>
    <row r="5">
      <c r="A5" s="2" t="inlineStr">
        <is>
          <t>Daniel Lee</t>
        </is>
      </c>
      <c r="B5" s="2" t="inlineStr">
        <is>
          <t>Leak Repair</t>
        </is>
      </c>
      <c r="C5" s="2" t="n">
        <v>30</v>
      </c>
      <c r="D5" s="2" t="inlineStr">
        <is>
          <t>Paya Lebar Office</t>
        </is>
      </c>
    </row>
    <row r="6">
      <c r="A6" s="2" t="inlineStr">
        <is>
          <t>Elena Ong</t>
        </is>
      </c>
      <c r="B6" s="2" t="inlineStr">
        <is>
          <t>Valve Repair</t>
        </is>
      </c>
      <c r="C6" s="2" t="n">
        <v>35</v>
      </c>
      <c r="D6" s="2" t="inlineStr">
        <is>
          <t>Changi Workshop</t>
        </is>
      </c>
    </row>
    <row r="7">
      <c r="A7" s="2" t="inlineStr">
        <is>
          <t>Farid Rahman</t>
        </is>
      </c>
      <c r="B7" s="2" t="inlineStr">
        <is>
          <t>Valve Repair</t>
        </is>
      </c>
      <c r="C7" s="2" t="n">
        <v>30</v>
      </c>
      <c r="D7" s="2" t="inlineStr">
        <is>
          <t>Woodlands Hub</t>
        </is>
      </c>
    </row>
    <row r="8">
      <c r="A8" s="2" t="inlineStr">
        <is>
          <t>Grace Ng</t>
        </is>
      </c>
      <c r="B8" s="2" t="inlineStr">
        <is>
          <t>Valve Repair</t>
        </is>
      </c>
      <c r="C8" s="2" t="n">
        <v>35</v>
      </c>
      <c r="D8" s="2" t="inlineStr">
        <is>
          <t>Jurong Depot</t>
        </is>
      </c>
    </row>
    <row r="9">
      <c r="A9" s="2" t="inlineStr">
        <is>
          <t>Hari Kumar</t>
        </is>
      </c>
      <c r="B9" s="2" t="inlineStr">
        <is>
          <t>Valve Repair</t>
        </is>
      </c>
      <c r="C9" s="2" t="n">
        <v>30</v>
      </c>
      <c r="D9" s="2" t="inlineStr">
        <is>
          <t>Tampines Centre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6"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2</t>
        </is>
      </c>
      <c r="B2" s="2" t="inlineStr">
        <is>
          <t>POWERPOINT COPILOT</t>
        </is>
      </c>
      <c r="C2" s="2" t="inlineStr">
        <is>
          <t>POWERPOINT COPILOT:
@maintenance-reporting Audit this eight-slide deck against the selected verified Northstar brief. List inaccurate figures, ambiguous units, date/scope omissions, unsupported causal or approval wording, dense text and weak hierarchy. Propose corrections; do not change values or source facts.</t>
        </is>
      </c>
    </row>
    <row r="3">
      <c r="A3" s="2" t="inlineStr">
        <is>
          <t>Step 3</t>
        </is>
      </c>
      <c r="B3" s="2" t="inlineStr">
        <is>
          <t>POWERPOINT COPILOT</t>
        </is>
      </c>
      <c r="C3" s="2" t="inlineStr">
        <is>
          <t>POWERPOINT COPILOT:
@maintenance-reporting Apply the reviewed design and wording corrections to the existing eight slides. Improve hierarchy and whitespace, make titles claim-led, retain accurate figures and charts, and add 45-second speaker notes per slide. Separate observed findings from proposed actions and end with the decision requested. Preserve the baseline date/scope; do not duplicate slides.</t>
        </is>
      </c>
    </row>
    <row r="4">
      <c r="A4" s="2" t="inlineStr">
        <is>
          <t>Step 4</t>
        </is>
      </c>
      <c r="B4" s="2" t="inlineStr">
        <is>
          <t>POWERPOINT COPILOT</t>
        </is>
      </c>
      <c r="C4" s="2" t="inlineStr">
        <is>
          <t>POWERPOINT COPILOT:
Using only this Northstar Water Services decision deck, propose three rehearsal questions a service operations manager could ask about overdue jobs, technician capacity and proposed priorities. Suggest where the existing evidence supports an answer and where it remains UNKNOWN. Do not invent partner feedback or alter the evidence.</t>
        </is>
      </c>
    </row>
    <row r="5">
      <c r="A5" s="2" t="inlineStr">
        <is>
          <t>Step 6</t>
        </is>
      </c>
      <c r="B5" s="2" t="inlineStr">
        <is>
          <t>OUTLOOK COPILOT</t>
        </is>
      </c>
      <c r="C5" s="2" t="inlineStr">
        <is>
          <t>OUTLOOK COPILOT:
Draft a short Northstar management handoff email using this verified brief and the links I provide. State the 30 September 2026 baseline scope, headline findings, proposed actions and decision required. Explain that the PowerPoint/PDF is a static snapshot while the Excel dashboard is interactive. Leave missing links UNKNOWN. Do not claim approval or send the draft.</t>
        </is>
      </c>
    </row>
    <row r="6">
      <c r="A6" s="2" t="inlineStr">
        <is>
          <t>Step 7</t>
        </is>
      </c>
      <c r="B6" s="2" t="inlineStr">
        <is>
          <t>WORD COPILOT</t>
        </is>
      </c>
      <c r="C6" s="2" t="inlineStr">
        <is>
          <t>WORD COPILOT:
Review the final Northstar Water Services handoff evidence I supply: baseline workbook, refresh-test record, skill v2, eight-slide deck and PDF, brief, source register and unsent email draft. Return a completeness checklist with verified evidence and missing items UNKNOWN. Confirm every artifact uses the same baseline date/scope; never claim approval, submission or sending.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ROWS(tblWorkOrders[Work_Order_ID])</f>
        <v/>
      </c>
      <c r="C2"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8" customWidth="1" min="6" max="6"/>
    <col width="17" customWidth="1" min="7" max="7"/>
    <col width="17" customWidth="1" min="8" max="8"/>
    <col width="17" customWidth="1" min="9" max="9"/>
  </cols>
  <sheetData>
    <row r="1">
      <c r="A1" s="1" t="inlineStr">
        <is>
          <t>Lab</t>
        </is>
      </c>
      <c r="B1" s="1" t="inlineStr">
        <is>
          <t>Step</t>
        </is>
      </c>
      <c r="C1" s="1" t="inlineStr">
        <is>
          <t>Claim_or_Test</t>
        </is>
      </c>
      <c r="D1" s="1" t="inlineStr">
        <is>
          <t>Expected</t>
        </is>
      </c>
      <c r="E1" s="1" t="inlineStr">
        <is>
          <t>Observed</t>
        </is>
      </c>
      <c r="F1" s="1" t="inlineStr">
        <is>
          <t>Source_and_Scope</t>
        </is>
      </c>
      <c r="G1" s="1" t="inlineStr">
        <is>
          <t>As_At</t>
        </is>
      </c>
      <c r="H1" s="1" t="inlineStr">
        <is>
          <t>Verified_By</t>
        </is>
      </c>
      <c r="I1" s="1" t="inlineStr">
        <is>
          <t>Notes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2" t="inlineStr">
        <is>
          <t>## SOURCE AND SCOPE</t>
        </is>
      </c>
    </row>
    <row r="2">
      <c r="A2" s="2" t="inlineStr">
        <is>
          <t>Preserve Work_Orders, tblWorkOrders, Technicians, current Assigned_To values and source IDs.</t>
        </is>
      </c>
    </row>
    <row r="3">
      <c r="A3" s="2" t="inlineStr">
        <is>
          <t>Use the reporting date from Control!B2. State the selected Site, Job_Category, Status and Assigned_To scope beside every report.</t>
        </is>
      </c>
    </row>
    <row r="4">
      <c r="A4" s="2" t="inlineStr">
        <is>
          <t>Backlog excludes Closed and Cancelled. Overdue backlog has Due_Date strictly before Control!B2.</t>
        </is>
      </c>
    </row>
    <row r="5">
      <c r="A5" s="2" t="inlineStr">
        <is>
          <t>On-time closure rate uses Closed rows only, with Closed_Date &lt;= Due_Date. Display N/A when no Closed rows remain.</t>
        </is>
      </c>
    </row>
    <row r="6">
      <c r="A6" s="2" t="inlineStr">
        <is>
          <t>## FORMATS AND VISUALS</t>
        </is>
      </c>
    </row>
    <row r="7">
      <c r="A7" s="2" t="inlineStr">
        <is>
          <t>Display recorded Cost_SGD as S$ with two decimals; keep underlying values exact. Show dates as DD-MMM-YYYY.</t>
        </is>
      </c>
    </row>
    <row r="8">
      <c r="A8" s="2" t="inlineStr">
        <is>
          <t>Use white backgrounds, navy titles, blue and teal accents, readable labels and named units; never use colour alone.</t>
        </is>
      </c>
    </row>
    <row r="9">
      <c r="A9" s="2" t="inlineStr">
        <is>
          <t>## DASHBOARD LAYOUT</t>
        </is>
      </c>
    </row>
    <row r="10">
      <c r="A10" s="2" t="inlineStr">
        <is>
          <t>Dashboard sheet: title in A1; Site, Job_Category, Status and Assigned_To dropdowns in B2:B5 (All plus source values); the six measures in B7:B12; data-as-at date and selected scope in D2.</t>
        </is>
      </c>
    </row>
    <row r="11">
      <c r="A11" s="2" t="inlineStr">
        <is>
          <t>Six KPI tiles in D4:I7, one column per tile: title in row 4, large value in row 5, short definition in row 6 and "Checks: PASS" in row 7.</t>
        </is>
      </c>
    </row>
    <row r="12">
      <c r="A12" s="2" t="inlineStr">
        <is>
          <t>Charts in a grid below the tiles: work orders by status and by job category side by side, then a full-width stacked bar by site (overdue backlog, other backlog, Closed, Cancelled).</t>
        </is>
      </c>
    </row>
    <row r="13">
      <c r="A13" s="2" t="inlineStr">
        <is>
          <t>Slicers for Site, Job_Category, Status and Assigned_To on the right of the tiles, connected to tblWorkOrders. KPI formulas use SUBTOTAL visibility so slicers and dropdowns both filter every tile and chart.</t>
        </is>
      </c>
    </row>
    <row r="14">
      <c r="A14" s="2" t="inlineStr">
        <is>
          <t>Put chart summaries, chart-title formulas and KPI checks on Dashboard_Summaries. Never merge cells. Hide gridlines on Dashboard.</t>
        </is>
      </c>
    </row>
    <row r="15">
      <c r="A15" s="2" t="inlineStr">
        <is>
          <t>## DASHBOARD STYLE</t>
        </is>
      </c>
    </row>
    <row r="16">
      <c r="A16" s="2" t="inlineStr">
        <is>
          <t>Tiles: white bold text on solid navy #1F4E79 (totals and rates), blue #2E75B6 (backlog, overdue) or teal #2A9D8F (Closed, cost).</t>
        </is>
      </c>
    </row>
    <row r="17">
      <c r="A17" s="2" t="inlineStr">
        <is>
          <t>Every chart title states the finding from a cell formula, e.g. "Changi Workshop has the most overdue backlog (18 of 50)".</t>
        </is>
      </c>
    </row>
    <row r="18">
      <c r="A18" s="2" t="inlineStr">
        <is>
          <t>Show data labels on bars; no gridlines; rates as % with one decimal. Each chart total must equal B7.</t>
        </is>
      </c>
    </row>
    <row r="19">
      <c r="A19" s="2" t="inlineStr">
        <is>
          <t>## OUTPUT AND REVIEW</t>
        </is>
      </c>
    </row>
    <row r="20">
      <c r="A20" s="2" t="inlineStr">
        <is>
          <t>Use structured table references. Preserve the visible .Rules sheet and unrelated sheets, charts and Prompt_Log.</t>
        </is>
      </c>
    </row>
    <row r="21">
      <c r="A21" s="2" t="inlineStr">
        <is>
          <t>Keep current owners separate from unapproved assignment proposals. Missing facts and approvals remain UNKNOWN.</t>
        </is>
      </c>
    </row>
    <row r="22">
      <c r="A22" s="2" t="inlineStr">
        <is>
          <t>Ask before replacing named output sheets. Reconcile every count, rate and chart against source rows; do not duplicate outputs on rerun.</t>
        </is>
      </c>
    </row>
    <row r="23">
      <c r="A23" s="2">
        <f>"Reporting date: "&amp;TEXT(Control!B2,"yyyy-mm-dd")</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1"/>
  <sheetViews>
    <sheetView showGridLines="0" zoomScale="85" workbookViewId="0">
      <selection activeCell="A1" sqref="A1"/>
    </sheetView>
  </sheetViews>
  <sheetFormatPr baseColWidth="8" defaultRowHeight="15"/>
  <cols>
    <col width="19" customWidth="1" min="1" max="1"/>
    <col width="17" customWidth="1" min="2" max="2"/>
    <col width="2" customWidth="1" min="3" max="3"/>
    <col width="24" customWidth="1" min="4" max="4"/>
    <col width="24" customWidth="1" min="5" max="5"/>
    <col width="24" customWidth="1" min="6" max="6"/>
    <col width="24" customWidth="1" min="7" max="7"/>
    <col width="24" customWidth="1" min="8" max="8"/>
    <col width="24" customWidth="1" min="9" max="9"/>
    <col width="2" customWidth="1" min="10" max="10"/>
    <col width="31" customWidth="1" min="11" max="11"/>
  </cols>
  <sheetData>
    <row r="1" ht="34" customHeight="1">
      <c r="A1" s="9">
        <f>"Northstar Maintenance Dashboard — Q3 work orders to "&amp;TEXT(Control!$B$2,"dd-mmm-yyyy")</f>
        <v/>
      </c>
    </row>
    <row r="2" ht="20" customHeight="1">
      <c r="A2" s="10" t="inlineStr">
        <is>
          <t>Site</t>
        </is>
      </c>
      <c r="B2" s="11" t="inlineStr">
        <is>
          <t>All</t>
        </is>
      </c>
      <c r="D2" s="12">
        <f>"Data as at "&amp;TEXT(Control!$B$2,"yyyy-mm-dd")&amp;"   ·   Site: "&amp;$B$2&amp;"  ·  Category: "&amp;$B$3&amp;"  ·  Status: "&amp;$B$4&amp;"  ·  Owner: "&amp;$B$5</f>
        <v/>
      </c>
    </row>
    <row r="3" ht="18" customHeight="1">
      <c r="A3" s="10" t="inlineStr">
        <is>
          <t>Job_Category</t>
        </is>
      </c>
      <c r="B3" s="11" t="inlineStr">
        <is>
          <t>All</t>
        </is>
      </c>
      <c r="D3" s="13">
        <f>IF(SUBTOTAL(103,tblWorkOrders[Work_Order_ID])&lt;ROWS(tblWorkOrders[Work_Order_ID]),"⚠ Slicer filter active: "&amp;SUBTOTAL(103,tblWorkOrders[Work_Order_ID])&amp;" of "&amp;ROWS(tblWorkOrders[Work_Order_ID])&amp;" source rows included. Clear the slicers for the full baseline.","All "&amp;ROWS(tblWorkOrders[Work_Order_ID])&amp;" source rows available (no slicer filter).")</f>
        <v/>
      </c>
    </row>
    <row r="4" ht="26" customHeight="1">
      <c r="A4" s="10" t="inlineStr">
        <is>
          <t>Status</t>
        </is>
      </c>
      <c r="B4" s="11" t="inlineStr">
        <is>
          <t>All</t>
        </is>
      </c>
      <c r="D4" s="14" t="inlineStr">
        <is>
          <t>Total work orders</t>
        </is>
      </c>
      <c r="E4" s="15" t="inlineStr">
        <is>
          <t>Backlog</t>
        </is>
      </c>
      <c r="F4" s="15" t="inlineStr">
        <is>
          <t>Overdue backlog</t>
        </is>
      </c>
      <c r="G4" s="16" t="inlineStr">
        <is>
          <t>Closed</t>
        </is>
      </c>
      <c r="H4" s="14" t="inlineStr">
        <is>
          <t>On-time closure rate</t>
        </is>
      </c>
      <c r="I4" s="16" t="inlineStr">
        <is>
          <t>Recorded cost</t>
        </is>
      </c>
    </row>
    <row r="5" ht="50" customHeight="1">
      <c r="A5" s="10" t="inlineStr">
        <is>
          <t>Assigned_To</t>
        </is>
      </c>
      <c r="B5" s="11" t="inlineStr">
        <is>
          <t>All</t>
        </is>
      </c>
      <c r="D5" s="17">
        <f>B7</f>
        <v/>
      </c>
      <c r="E5" s="18">
        <f>B8</f>
        <v/>
      </c>
      <c r="F5" s="18">
        <f>B9</f>
        <v/>
      </c>
      <c r="G5" s="19">
        <f>B10</f>
        <v/>
      </c>
      <c r="H5" s="20">
        <f>B11</f>
        <v/>
      </c>
      <c r="I5" s="21">
        <f>B12</f>
        <v/>
      </c>
    </row>
    <row r="6" ht="38" customHeight="1">
      <c r="A6" s="22" t="inlineStr">
        <is>
          <t>Measure</t>
        </is>
      </c>
      <c r="B6" s="22" t="inlineStr">
        <is>
          <t>Current selection</t>
        </is>
      </c>
      <c r="D6" s="23">
        <f>"Selected of "&amp;ROWS(tblWorkOrders[Work_Order_ID])&amp;" rows in tblWorkOrders"</f>
        <v/>
      </c>
      <c r="E6" s="24">
        <f>IF(B7=0,"No rows selected",TEXT(B8/B7,"0%")&amp;" of selection; "&amp;Dashboard_Summaries!O7&amp;" unassigned")</f>
        <v/>
      </c>
      <c r="F6" s="24">
        <f>"Backlog due before "&amp;TEXT(Control!$B$2,"dd-mmm-yyyy")</f>
        <v/>
      </c>
      <c r="G6" s="25">
        <f>"Cancelled in selection: "&amp;Dashboard_Summaries!B9</f>
        <v/>
      </c>
      <c r="H6" s="23">
        <f>IF(B10=0,"No closed jobs in selection",Dashboard_Summaries!O8&amp;" of "&amp;B10&amp;" closed by due date")</f>
        <v/>
      </c>
      <c r="I6" s="25">
        <f>"Cost_SGD, all statuses; not a budget"</f>
        <v/>
      </c>
    </row>
    <row r="7" ht="22" customHeight="1">
      <c r="A7" s="26" t="inlineStr">
        <is>
          <t>Total work orders</t>
        </is>
      </c>
      <c r="B7" s="27">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f>
        <v/>
      </c>
      <c r="D7" s="28">
        <f>"Checks: "&amp;Dashboard_Summaries!O11</f>
        <v/>
      </c>
      <c r="E7" s="29">
        <f>"Checks: "&amp;Dashboard_Summaries!O12</f>
        <v/>
      </c>
      <c r="F7" s="29">
        <f>"Checks: "&amp;Dashboard_Summaries!O13</f>
        <v/>
      </c>
      <c r="G7" s="30">
        <f>"Checks: "&amp;Dashboard_Summaries!O14</f>
        <v/>
      </c>
      <c r="H7" s="28">
        <f>"Checks: "&amp;Dashboard_Summaries!O15</f>
        <v/>
      </c>
      <c r="I7" s="30">
        <f>"Checks: "&amp;Dashboard_Summaries!O16</f>
        <v/>
      </c>
    </row>
    <row r="8" ht="10" customHeight="1">
      <c r="A8" s="26" t="inlineStr">
        <is>
          <t>Backlog</t>
        </is>
      </c>
      <c r="B8" s="27">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tblWorkOrders[Status]&lt;&gt;"Closed")*(tblWorkOrders[Status]&lt;&gt;"Cancelled"))</f>
        <v/>
      </c>
    </row>
    <row r="9">
      <c r="A9" s="26" t="inlineStr">
        <is>
          <t>Overdue backlog</t>
        </is>
      </c>
      <c r="B9" s="27">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tblWorkOrders[Status]&lt;&gt;"Closed")*(tblWorkOrders[Status]&lt;&gt;"Cancelled")*(tblWorkOrders[Due_Date]&lt;Control!$B$2))</f>
        <v/>
      </c>
    </row>
    <row r="10">
      <c r="A10" s="26" t="inlineStr">
        <is>
          <t>Closed</t>
        </is>
      </c>
      <c r="B10" s="27">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tblWorkOrders[Status]="Closed"))</f>
        <v/>
      </c>
    </row>
    <row r="11">
      <c r="A11" s="26" t="inlineStr">
        <is>
          <t>On-time closure rate</t>
        </is>
      </c>
      <c r="B11" s="31">
        <f>IF(B10=0,"N/A",Dashboard_Summaries!O8/B10)</f>
        <v/>
      </c>
    </row>
    <row r="12">
      <c r="A12" s="26" t="inlineStr">
        <is>
          <t>Recorded cost (S$)</t>
        </is>
      </c>
      <c r="B12" s="32">
        <f>SUMPRODUCT(((tblWorkOrders[Site]=$B$2)+($B$2="All")&gt;0)*((tblWorkOrders[Job_Category]=$B$3)+($B$3="All")&gt;0)*((tblWorkOrders[Status]=$B$4)+($B$4="All")&gt;0)*((tblWorkOrders[Assigned_To]=$B$5)+($B$5="All")+(($B$5="Unassigned")*(tblWorkOrders[Assigned_To]=""))&gt;0)*SUBTOTAL(103,OFFSET(tblWorkOrders[[#Headers],[Work_Order_ID]],ROW(tblWorkOrders[Work_Order_ID])-ROW(tblWorkOrders[[#Headers],[Work_Order_ID]]),0)),tblWorkOrders[Cost_SGD])</f>
        <v/>
      </c>
    </row>
    <row r="13">
      <c r="A13" s="33" t="inlineStr">
        <is>
          <t>Rows after slicers</t>
        </is>
      </c>
      <c r="B13" s="34">
        <f>SUBTOTAL(103,tblWorkOrders[Work_Order_ID])</f>
        <v/>
      </c>
    </row>
    <row r="15">
      <c r="A15" s="35" t="inlineStr">
        <is>
          <t>How to filter</t>
        </is>
      </c>
    </row>
    <row r="16">
      <c r="A16" s="36" t="inlineStr">
        <is>
          <t>• Dropdowns B2:B5 or the slicers</t>
        </is>
      </c>
    </row>
    <row r="17">
      <c r="A17" s="36" t="inlineStr">
        <is>
          <t xml:space="preserve">  both filter every tile and chart.</t>
        </is>
      </c>
    </row>
    <row r="18">
      <c r="A18" s="36" t="inlineStr">
        <is>
          <t>• Unassigned = blank Assigned_To.</t>
        </is>
      </c>
    </row>
    <row r="19">
      <c r="A19" s="36" t="inlineStr">
        <is>
          <t>• Baseline: all All, slicers cleared.</t>
        </is>
      </c>
    </row>
    <row r="20">
      <c r="A20" s="36" t="inlineStr">
        <is>
          <t>• Summaries + checks:</t>
        </is>
      </c>
    </row>
    <row r="21">
      <c r="A21" s="36" t="inlineStr">
        <is>
          <t xml:space="preserve">  Dashboard_Summaries sheet.</t>
        </is>
      </c>
    </row>
  </sheetData>
  <conditionalFormatting sqref="D3">
    <cfRule type="expression" priority="1" dxfId="0">
      <formula>LEFT($D$3,1)="⚠"</formula>
    </cfRule>
  </conditionalFormatting>
  <dataValidations count="4">
    <dataValidation sqref="B2" showDropDown="0" showInputMessage="0" showErrorMessage="1" allowBlank="0" errorTitle="Choose from the list" error="Pick All or a value from the dropdown." type="list">
      <formula1>'Filter_Lists'!$A$1:$A$6</formula1>
    </dataValidation>
    <dataValidation sqref="B3" showDropDown="0" showInputMessage="0" showErrorMessage="1" allowBlank="0" errorTitle="Choose from the list" error="Pick All or a value from the dropdown." type="list">
      <formula1>'Filter_Lists'!$B$1:$B$6</formula1>
    </dataValidation>
    <dataValidation sqref="B4" showDropDown="0" showInputMessage="0" showErrorMessage="1" allowBlank="0" errorTitle="Choose from the list" error="Pick All or a value from the dropdown." type="list">
      <formula1>'Filter_Lists'!$C$1:$C$7</formula1>
    </dataValidation>
    <dataValidation sqref="B5" showDropDown="0" showInputMessage="0" showErrorMessage="1" allowBlank="0" errorTitle="Choose from the list" error="Pick All or a value from the dropdown." type="list">
      <formula1>'Filter_Lists'!$D$1:$D$10</formula1>
    </dataValidation>
  </dataValidations>
  <pageMargins left="0.75" right="0.75" top="1" bottom="1" header="0.5" footer="0.5"/>
  <drawing xmlns:r="http://schemas.openxmlformats.org/officeDocument/2006/relationships" r:id="rId1"/>
  <extLst>
    <ext xmlns:x15="http://schemas.microsoft.com/office/spreadsheetml/2010/11/main" uri="{3A4CF648-6AED-40f4-86FF-DC5316D8AED3}">
      <x14:slicerList xmlns:x14="http://schemas.microsoft.com/office/spreadsheetml/2009/9/main">
        <x14:slicer xmlns:r="http://schemas.openxmlformats.org/officeDocument/2006/relationships" r:id="rIdSlicer1"/>
      </x14:slicerList>
    </ext>
  </extLst>
</worksheet>
</file>

<file path=xl/worksheets/sheet10.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cols>
    <col width="16" customWidth="1" min="1" max="1"/>
    <col width="12" customWidth="1" min="2" max="2"/>
    <col width="3" customWidth="1" min="3" max="3"/>
    <col width="18" customWidth="1" min="4" max="4"/>
    <col width="12" customWidth="1" min="5" max="5"/>
    <col width="3" customWidth="1" min="6" max="6"/>
    <col width="18" customWidth="1" min="7" max="7"/>
    <col width="15" customWidth="1" min="8" max="8"/>
    <col width="13" customWidth="1" min="9" max="9"/>
    <col width="10" customWidth="1" min="10" max="10"/>
    <col width="11" customWidth="1" min="11" max="11"/>
    <col width="9" customWidth="1" min="12" max="12"/>
    <col width="3" customWidth="1" min="13" max="13"/>
    <col width="30" customWidth="1" min="14" max="14"/>
    <col width="70" customWidth="1" min="15" max="15"/>
  </cols>
  <sheetData>
    <row r="1">
      <c r="A1" s="37" t="inlineStr">
        <is>
          <t>Dashboard chart summaries, titles and checks (formula-backed; same selection as Dashboard)</t>
        </is>
      </c>
    </row>
    <row r="3">
      <c r="A3" s="38" t="inlineStr">
        <is>
          <t>Status</t>
        </is>
      </c>
      <c r="B3" s="38" t="inlineStr">
        <is>
          <t>Work orders</t>
        </is>
      </c>
      <c r="D3" s="38" t="inlineStr">
        <is>
          <t>Job category</t>
        </is>
      </c>
      <c r="E3" s="38" t="inlineStr">
        <is>
          <t>Work orders</t>
        </is>
      </c>
      <c r="G3" s="38" t="inlineStr">
        <is>
          <t>Site</t>
        </is>
      </c>
      <c r="H3" s="38" t="inlineStr">
        <is>
          <t>Overdue backlog</t>
        </is>
      </c>
      <c r="I3" s="38" t="inlineStr">
        <is>
          <t>Other backlog</t>
        </is>
      </c>
      <c r="J3" s="38" t="inlineStr">
        <is>
          <t>Closed</t>
        </is>
      </c>
      <c r="K3" s="38" t="inlineStr">
        <is>
          <t>Cancelled</t>
        </is>
      </c>
      <c r="L3" s="38" t="inlineStr">
        <is>
          <t>Total</t>
        </is>
      </c>
      <c r="N3" s="38" t="inlineStr">
        <is>
          <t>Item</t>
        </is>
      </c>
      <c r="O3" s="38" t="inlineStr">
        <is>
          <t>Value</t>
        </is>
      </c>
    </row>
    <row r="4">
      <c r="A4" t="inlineStr">
        <is>
          <t>New</t>
        </is>
      </c>
      <c r="B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4))</f>
        <v/>
      </c>
      <c r="D4" t="inlineStr">
        <is>
          <t>Leak Repair</t>
        </is>
      </c>
      <c r="E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4))</f>
        <v/>
      </c>
      <c r="G4" t="inlineStr">
        <is>
          <t>Woodlands Hub</t>
        </is>
      </c>
      <c r="H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4))</f>
        <v/>
      </c>
      <c r="I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4))-H4</f>
        <v/>
      </c>
      <c r="J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4))</f>
        <v/>
      </c>
      <c r="K4">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4))</f>
        <v/>
      </c>
      <c r="L4">
        <f>SUM(H4:K4)</f>
        <v/>
      </c>
      <c r="N4" t="inlineStr">
        <is>
          <t>Status chart title</t>
        </is>
      </c>
      <c r="O4">
        <f>IF(Dashboard!$B$7=0,"No work orders in the current selection",IF(COUNTIF(B4:B9,MAX(B4:B9))&gt;1,COUNTIF(B4:B9,MAX(B4:B9))&amp;" statuses tie for most work orders ("&amp;MAX(B4:B9)&amp;" each)",INDEX(A4:A9,MATCH(MAX(B4:B9),B4:B9,0))&amp;" is the largest status group ("&amp;MAX(B4:B9)&amp;" of "&amp;Dashboard!$B$7&amp;")"))</f>
        <v/>
      </c>
    </row>
    <row r="5">
      <c r="A5" t="inlineStr">
        <is>
          <t>Assigned</t>
        </is>
      </c>
      <c r="B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5))</f>
        <v/>
      </c>
      <c r="D5" t="inlineStr">
        <is>
          <t>Valve Repair</t>
        </is>
      </c>
      <c r="E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5))</f>
        <v/>
      </c>
      <c r="G5" t="inlineStr">
        <is>
          <t>Jurong Depot</t>
        </is>
      </c>
      <c r="H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5))</f>
        <v/>
      </c>
      <c r="I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5))-H5</f>
        <v/>
      </c>
      <c r="J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5))</f>
        <v/>
      </c>
      <c r="K5">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5))</f>
        <v/>
      </c>
      <c r="L5">
        <f>SUM(H5:K5)</f>
        <v/>
      </c>
      <c r="N5" t="inlineStr">
        <is>
          <t>Category chart title</t>
        </is>
      </c>
      <c r="O5">
        <f>IF(Dashboard!$B$7=0,"No work orders in the current selection",IF(MAX(E4:E8)=MIN(E4:E8),"All five job categories are level at "&amp;MAX(E4:E8)&amp;" work orders",IF(COUNTIF(E4:E8,MAX(E4:E8))&gt;1,COUNTIF(E4:E8,MAX(E4:E8))&amp;" categories tie for most work orders ("&amp;MAX(E4:E8)&amp;" each)",INDEX(D4:D8,MATCH(MAX(E4:E8),E4:E8,0))&amp;" has the most work orders ("&amp;MAX(E4:E8)&amp;")")))</f>
        <v/>
      </c>
    </row>
    <row r="6">
      <c r="A6" t="inlineStr">
        <is>
          <t>In Progress</t>
        </is>
      </c>
      <c r="B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6))</f>
        <v/>
      </c>
      <c r="D6" t="inlineStr">
        <is>
          <t>Pipe Replacement</t>
        </is>
      </c>
      <c r="E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6))</f>
        <v/>
      </c>
      <c r="G6" t="inlineStr">
        <is>
          <t>Tampines Centre</t>
        </is>
      </c>
      <c r="H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6))</f>
        <v/>
      </c>
      <c r="I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6))-H6</f>
        <v/>
      </c>
      <c r="J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6))</f>
        <v/>
      </c>
      <c r="K6">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6))</f>
        <v/>
      </c>
      <c r="L6">
        <f>SUM(H6:K6)</f>
        <v/>
      </c>
      <c r="N6" t="inlineStr">
        <is>
          <t>Site chart title</t>
        </is>
      </c>
      <c r="O6">
        <f>IF(H9=0,"No overdue backlog in the current selection",IF(COUNTIF(H4:H8,MAX(H4:H8))&gt;1,COUNTIF(H4:H8,MAX(H4:H8))&amp;" sites tie for most overdue backlog ("&amp;MAX(H4:H8)&amp;" each)",INDEX(G4:G8,MATCH(MAX(H4:H8),H4:H8,0))&amp;" has the most overdue backlog ("&amp;MAX(H4:H8)&amp;" of "&amp;H9&amp;")"))</f>
        <v/>
      </c>
    </row>
    <row r="7">
      <c r="A7" t="inlineStr">
        <is>
          <t>On Hold</t>
        </is>
      </c>
      <c r="B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7))</f>
        <v/>
      </c>
      <c r="D7" t="inlineStr">
        <is>
          <t>Pump Service</t>
        </is>
      </c>
      <c r="E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7))</f>
        <v/>
      </c>
      <c r="G7" t="inlineStr">
        <is>
          <t>Paya Lebar Office</t>
        </is>
      </c>
      <c r="H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7))</f>
        <v/>
      </c>
      <c r="I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7))-H7</f>
        <v/>
      </c>
      <c r="J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7))</f>
        <v/>
      </c>
      <c r="K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7))</f>
        <v/>
      </c>
      <c r="L7">
        <f>SUM(H7:K7)</f>
        <v/>
      </c>
      <c r="N7" t="inlineStr">
        <is>
          <t>Unassigned backlog</t>
        </is>
      </c>
      <c r="O7">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Assigned_To]=""))</f>
        <v/>
      </c>
    </row>
    <row r="8">
      <c r="A8" t="inlineStr">
        <is>
          <t>Closed</t>
        </is>
      </c>
      <c r="B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8))</f>
        <v/>
      </c>
      <c r="D8" t="inlineStr">
        <is>
          <t>Meter Service</t>
        </is>
      </c>
      <c r="E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Job_Category]=D8))</f>
        <v/>
      </c>
      <c r="G8" t="inlineStr">
        <is>
          <t>Changi Workshop</t>
        </is>
      </c>
      <c r="H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Due_Date]&lt;Control!$B$2)*(tblWorkOrders[Site]=G8))</f>
        <v/>
      </c>
      <c r="I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lt;&gt;"Closed")*(tblWorkOrders[Status]&lt;&gt;"Cancelled")*(tblWorkOrders[Site]=G8))-H8</f>
        <v/>
      </c>
      <c r="J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Site]=G8))</f>
        <v/>
      </c>
      <c r="K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ancelled")*(tblWorkOrders[Site]=G8))</f>
        <v/>
      </c>
      <c r="L8">
        <f>SUM(H8:K8)</f>
        <v/>
      </c>
      <c r="N8" t="inlineStr">
        <is>
          <t>Closed on or before due date</t>
        </is>
      </c>
      <c r="O8">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Closed")*(tblWorkOrders[Closed_Date]&lt;=tblWorkOrders[Due_Date]))</f>
        <v/>
      </c>
    </row>
    <row r="9">
      <c r="A9" t="inlineStr">
        <is>
          <t>Cancelled</t>
        </is>
      </c>
      <c r="B9">
        <f>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Status]=A9))</f>
        <v/>
      </c>
      <c r="D9" s="39" t="inlineStr">
        <is>
          <t>Total</t>
        </is>
      </c>
      <c r="E9" s="39">
        <f>SUM(E4:E8)</f>
        <v/>
      </c>
      <c r="G9" s="39" t="inlineStr">
        <is>
          <t>Total</t>
        </is>
      </c>
      <c r="H9" s="39">
        <f>SUM(H4:H8)</f>
        <v/>
      </c>
      <c r="I9" s="39">
        <f>SUM(I4:I8)</f>
        <v/>
      </c>
      <c r="J9" s="39">
        <f>SUM(J4:J8)</f>
        <v/>
      </c>
      <c r="K9" s="39">
        <f>SUM(K4:K8)</f>
        <v/>
      </c>
      <c r="L9" s="39">
        <f>SUM(L4:L8)</f>
        <v/>
      </c>
      <c r="N9" t="inlineStr">
        <is>
          <t>Baseline view (All, no slicer)</t>
        </is>
      </c>
      <c r="O9">
        <f>AND(Dashboard!$B$2="All",Dashboard!$B$3="All",Dashboard!$B$4="All",Dashboard!$B$5="All",SUBTOTAL(103,tblWorkOrders[Work_Order_ID])=ROWS(tblWorkOrders[Work_Order_ID]))</f>
        <v/>
      </c>
    </row>
    <row r="10">
      <c r="A10" s="39" t="inlineStr">
        <is>
          <t>Total</t>
        </is>
      </c>
      <c r="B10" s="39">
        <f>SUM(B4:B9)</f>
        <v/>
      </c>
      <c r="N10" t="inlineStr">
        <is>
          <t>Charts reconcile to B7</t>
        </is>
      </c>
      <c r="O10">
        <f>AND(B10=Dashboard!$B$7,E9=Dashboard!$B$7,L9=Dashboard!$B$7)</f>
        <v/>
      </c>
    </row>
    <row r="11">
      <c r="N11" t="inlineStr">
        <is>
          <t>Check: total work orders</t>
        </is>
      </c>
      <c r="O11">
        <f>IF(AND(O10,OR(NOT(O9),Dashboard!$B$7=Control!$B$3)),"PASS","REVIEW")</f>
        <v/>
      </c>
    </row>
    <row r="12">
      <c r="N12" t="inlineStr">
        <is>
          <t>Check: backlog</t>
        </is>
      </c>
      <c r="O12">
        <f>IF(AND(Dashboard!$B$7=Dashboard!$B$8+Dashboard!$B$10+B9,OR(NOT(O9),Dashboard!$B$8=Control!$B$6)),"PASS","REVIEW")</f>
        <v/>
      </c>
    </row>
    <row r="13">
      <c r="N13" t="inlineStr">
        <is>
          <t>Check: overdue backlog</t>
        </is>
      </c>
      <c r="O13">
        <f>IF(AND(Dashboard!$B$9&lt;=Dashboard!$B$8,H9=Dashboard!$B$9,OR(NOT(O9),Dashboard!$B$9=Control!$B$7)),"PASS","REVIEW")</f>
        <v/>
      </c>
    </row>
    <row r="14">
      <c r="N14" t="inlineStr">
        <is>
          <t>Check: closed</t>
        </is>
      </c>
      <c r="O14">
        <f>IF(AND(Dashboard!$B$10=B8,OR(NOT(O9),Dashboard!$B$10=Control!$B$4)),"PASS","REVIEW")</f>
        <v/>
      </c>
    </row>
    <row r="15">
      <c r="N15" t="inlineStr">
        <is>
          <t>Check: on-time rate</t>
        </is>
      </c>
      <c r="O15">
        <f>IF(Dashboard!$B$10=0,IF(Dashboard!$B$11="N/A","PASS","REVIEW"),IF(AND(ROUND(O8/Dashboard!$B$10-Dashboard!$B$11,6)=0,OR(NOT(O9),ROUND(Dashboard!$B$11-Control!$B$10,6)=0)),"PASS","REVIEW"))</f>
        <v/>
      </c>
    </row>
    <row r="16">
      <c r="N16" t="inlineStr">
        <is>
          <t>Check: recorded cost</t>
        </is>
      </c>
      <c r="O16">
        <f>IF(AND(ROUND(Dashboard!$B$12-SUMPRODUCT(((tblWorkOrders[Site]=Dashboard!$B$2)+(Dashboard!$B$2="All")&gt;0)*((tblWorkOrders[Job_Category]=Dashboard!$B$3)+(Dashboard!$B$3="All")&gt;0)*((tblWorkOrders[Status]=Dashboard!$B$4)+(Dashboard!$B$4="All")&gt;0)*((tblWorkOrders[Assigned_To]=Dashboard!$B$5)+(Dashboard!$B$5="All")+((Dashboard!$B$5="Unassigned")*(tblWorkOrders[Assigned_To]=""))&gt;0)*SUBTOTAL(103,OFFSET(tblWorkOrders[[#Headers],[Work_Order_ID]],ROW(tblWorkOrders[Work_Order_ID])-ROW(tblWorkOrders[[#Headers],[Work_Order_ID]]),0)),tblWorkOrders[Cost_SGD]),2)=0,OR(NOT(O9),ROUND(Dashboard!$B$12-Control!$B$11,2)=0)),"PASS","REVIEW")</f>
        <v/>
      </c>
    </row>
  </sheetData>
  <conditionalFormatting sqref="B10">
    <cfRule type="expression" priority="1" dxfId="1">
      <formula>B10&lt;&gt;Dashboard!$B$7</formula>
    </cfRule>
  </conditionalFormatting>
  <conditionalFormatting sqref="E9">
    <cfRule type="expression" priority="2" dxfId="1">
      <formula>E9&lt;&gt;Dashboard!$B$7</formula>
    </cfRule>
  </conditionalFormatting>
  <conditionalFormatting sqref="L9">
    <cfRule type="expression" priority="3" dxfId="1">
      <formula>L9&lt;&gt;Dashboard!$B$7</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t="inlineStr">
        <is>
          <t>All</t>
        </is>
      </c>
      <c r="B1" t="inlineStr">
        <is>
          <t>All</t>
        </is>
      </c>
      <c r="C1" t="inlineStr">
        <is>
          <t>All</t>
        </is>
      </c>
      <c r="D1" t="inlineStr">
        <is>
          <t>All</t>
        </is>
      </c>
    </row>
    <row r="2">
      <c r="A2" t="inlineStr">
        <is>
          <t>Woodlands Hub</t>
        </is>
      </c>
      <c r="B2" t="inlineStr">
        <is>
          <t>Leak Repair</t>
        </is>
      </c>
      <c r="C2" t="inlineStr">
        <is>
          <t>New</t>
        </is>
      </c>
      <c r="D2" t="inlineStr">
        <is>
          <t>Aisha Tan</t>
        </is>
      </c>
    </row>
    <row r="3">
      <c r="A3" t="inlineStr">
        <is>
          <t>Jurong Depot</t>
        </is>
      </c>
      <c r="B3" t="inlineStr">
        <is>
          <t>Valve Repair</t>
        </is>
      </c>
      <c r="C3" t="inlineStr">
        <is>
          <t>Assigned</t>
        </is>
      </c>
      <c r="D3" t="inlineStr">
        <is>
          <t>Ben Lim</t>
        </is>
      </c>
    </row>
    <row r="4">
      <c r="A4" t="inlineStr">
        <is>
          <t>Tampines Centre</t>
        </is>
      </c>
      <c r="B4" t="inlineStr">
        <is>
          <t>Pipe Replacement</t>
        </is>
      </c>
      <c r="C4" t="inlineStr">
        <is>
          <t>In Progress</t>
        </is>
      </c>
      <c r="D4" t="inlineStr">
        <is>
          <t>Chloe Goh</t>
        </is>
      </c>
    </row>
    <row r="5">
      <c r="A5" t="inlineStr">
        <is>
          <t>Paya Lebar Office</t>
        </is>
      </c>
      <c r="B5" t="inlineStr">
        <is>
          <t>Pump Service</t>
        </is>
      </c>
      <c r="C5" t="inlineStr">
        <is>
          <t>On Hold</t>
        </is>
      </c>
      <c r="D5" t="inlineStr">
        <is>
          <t>Daniel Lee</t>
        </is>
      </c>
    </row>
    <row r="6">
      <c r="A6" t="inlineStr">
        <is>
          <t>Changi Workshop</t>
        </is>
      </c>
      <c r="B6" t="inlineStr">
        <is>
          <t>Meter Service</t>
        </is>
      </c>
      <c r="C6" t="inlineStr">
        <is>
          <t>Closed</t>
        </is>
      </c>
      <c r="D6" t="inlineStr">
        <is>
          <t>Elena Ong</t>
        </is>
      </c>
    </row>
    <row r="7">
      <c r="C7" t="inlineStr">
        <is>
          <t>Cancelled</t>
        </is>
      </c>
      <c r="D7" t="inlineStr">
        <is>
          <t>Farid Rahman</t>
        </is>
      </c>
    </row>
    <row r="8">
      <c r="D8" t="inlineStr">
        <is>
          <t>Grace Ng</t>
        </is>
      </c>
    </row>
    <row r="9">
      <c r="D9" t="inlineStr">
        <is>
          <t>Hari Kumar</t>
        </is>
      </c>
    </row>
    <row r="10">
      <c r="D10" t="inlineStr">
        <is>
          <t>Unassigned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2026-10-18T08:15:46Z</dcterms:created>
  <dcterms:modified xmlns:dcterms="http://purl.org/dc/terms/" xmlns:xsi="http://www.w3.org/2001/XMLSchema-instance" xsi:type="dcterms:W3CDTF">2026-10-18T08:15:46Z</dcterms:modified>
</cp:coreProperties>
</file>