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s/slicer1.xml" ContentType="application/vnd.ms-excel.slicer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Work_Orders" sheetId="2" state="visible" r:id="rId2"/>
    <sheet xmlns:r="http://schemas.openxmlformats.org/officeDocument/2006/relationships" name="Technician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Evidence_Log" sheetId="7" state="visible" r:id="rId7"/>
    <sheet xmlns:r="http://schemas.openxmlformats.org/officeDocument/2006/relationships" name=".Rules" sheetId="8" state="visible" r:id="rId8"/>
    <sheet xmlns:r="http://schemas.openxmlformats.org/officeDocument/2006/relationships" name="Dashboard" sheetId="9" state="visible" r:id="rId9"/>
    <sheet xmlns:r="http://schemas.openxmlformats.org/officeDocument/2006/relationships" name="Dashboard_Summaries" sheetId="10" state="visible" r:id="rId10"/>
    <sheet xmlns:r="http://schemas.openxmlformats.org/officeDocument/2006/relationships" name="Filter_Lists" sheetId="11" state="hidden" r:id="rId11"/>
  </sheets>
  <definedNames>
    <definedName name="Slicer_Site">#N/A</definedName>
    <definedName name="Slicer_Job_Category">#N/A</definedName>
    <definedName name="Slicer_Status">#N/A</definedName>
    <definedName name="Slicer_Assigned_To">#N/A</definedName>
  </definedNames>
  <calcPr calcId="124519" fullCalcOnLoad="1"/>
  <extLst>
    <ext xmlns:x15="http://schemas.microsoft.com/office/spreadsheetml/2010/11/main" uri="{46BE6895-7355-4a93-B00E-2C351335B9C9}">
      <x15:slicerCaches xmlns:x14="http://schemas.microsoft.com/office/spreadsheetml/2009/9/main">
        <x14:slicerCache xmlns:r="http://schemas.openxmlformats.org/officeDocument/2006/relationships" r:id="rIdSlicerCache1"/>
        <x14:slicerCache xmlns:r="http://schemas.openxmlformats.org/officeDocument/2006/relationships" r:id="rIdSlicerCache2"/>
        <x14:slicerCache xmlns:r="http://schemas.openxmlformats.org/officeDocument/2006/relationships" r:id="rIdSlicerCache3"/>
        <x14:slicerCache xmlns:r="http://schemas.openxmlformats.org/officeDocument/2006/relationships" r:id="rIdSlicerCache4"/>
      </x15:slicerCaches>
    </ext>
  </extLst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&quot;S$&quot;#,##0.0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1F4E79"/>
      <sz val="13"/>
    </font>
    <font>
      <b val="1"/>
      <color rgb="001F4E79"/>
    </font>
    <font>
      <b val="1"/>
      <color rgb="001F4E79"/>
      <sz val="20"/>
    </font>
    <font>
      <i val="1"/>
      <color rgb="00404040"/>
      <sz val="11"/>
    </font>
    <font>
      <color rgb="00595959"/>
      <sz val="9"/>
    </font>
    <font>
      <i val="1"/>
      <color rgb="00595959"/>
    </font>
    <font>
      <b val="1"/>
      <color rgb="001F4E79"/>
      <sz val="9"/>
    </font>
    <font>
      <b val="1"/>
      <color rgb="00FFFFFF"/>
      <sz val="12"/>
    </font>
    <font>
      <b val="1"/>
      <color rgb="00FFFFFF"/>
      <sz val="28"/>
    </font>
    <font>
      <color rgb="00FFFFFF"/>
      <sz val="9"/>
    </font>
    <font>
      <b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6FEB"/>
      </patternFill>
    </fill>
    <fill>
      <patternFill patternType="solid">
        <fgColor rgb="001F4E79"/>
      </patternFill>
    </fill>
    <fill>
      <patternFill patternType="solid">
        <fgColor rgb="00F3F6FA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2A9D8F"/>
      </patternFill>
    </fill>
  </fills>
  <borders count="4">
    <border>
      <left/>
      <right/>
      <top/>
      <bottom/>
      <diagonal/>
    </border>
    <border>
      <left style="thin">
        <color rgb="002E75B6"/>
      </left>
      <right style="thin">
        <color rgb="002E75B6"/>
      </right>
      <top style="thin">
        <color rgb="002E75B6"/>
      </top>
      <bottom style="thin">
        <color rgb="002E75B6"/>
      </bottom>
    </border>
    <border>
      <bottom style="thin">
        <color rgb="00C9D3E3"/>
      </bottom>
    </border>
    <border>
      <left style="thick">
        <color rgb="00FFFFFF"/>
      </left>
      <right style="thick">
        <color rgb="00FFFFFF"/>
      </right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9" fillId="3" borderId="3" applyAlignment="1" pivotButton="0" quotePrefix="0" xfId="0">
      <alignment horizontal="center" vertical="center"/>
    </xf>
    <xf numFmtId="0" fontId="9" fillId="6" borderId="3" applyAlignment="1" pivotButton="0" quotePrefix="0" xfId="0">
      <alignment horizontal="center" vertical="center"/>
    </xf>
    <xf numFmtId="0" fontId="9" fillId="7" borderId="3" applyAlignment="1" pivotButton="0" quotePrefix="0" xfId="0">
      <alignment horizontal="center" vertical="center"/>
    </xf>
    <xf numFmtId="1" fontId="10" fillId="3" borderId="3" applyAlignment="1" pivotButton="0" quotePrefix="0" xfId="0">
      <alignment horizontal="center" vertical="center" shrinkToFit="1"/>
    </xf>
    <xf numFmtId="1" fontId="10" fillId="6" borderId="3" applyAlignment="1" pivotButton="0" quotePrefix="0" xfId="0">
      <alignment horizontal="center" vertical="center" shrinkToFit="1"/>
    </xf>
    <xf numFmtId="1" fontId="10" fillId="7" borderId="3" applyAlignment="1" pivotButton="0" quotePrefix="0" xfId="0">
      <alignment horizontal="center" vertical="center" shrinkToFit="1"/>
    </xf>
    <xf numFmtId="165" fontId="10" fillId="3" borderId="3" applyAlignment="1" pivotButton="0" quotePrefix="0" xfId="0">
      <alignment horizontal="center" vertical="center" shrinkToFit="1"/>
    </xf>
    <xf numFmtId="166" fontId="10" fillId="7" borderId="3" applyAlignment="1" pivotButton="0" quotePrefix="0" xfId="0">
      <alignment horizontal="center" vertical="center" shrinkToFit="1"/>
    </xf>
    <xf numFmtId="0" fontId="1" fillId="3" borderId="0" applyAlignment="1" pivotButton="0" quotePrefix="0" xfId="0">
      <alignment vertical="center"/>
    </xf>
    <xf numFmtId="0" fontId="11" fillId="3" borderId="3" applyAlignment="1" pivotButton="0" quotePrefix="0" xfId="0">
      <alignment horizontal="center" vertical="center" wrapText="1"/>
    </xf>
    <xf numFmtId="0" fontId="11" fillId="6" borderId="3" applyAlignment="1" pivotButton="0" quotePrefix="0" xfId="0">
      <alignment horizontal="center" vertical="center" wrapText="1"/>
    </xf>
    <xf numFmtId="0" fontId="11" fillId="7" borderId="3" applyAlignment="1" pivotButton="0" quotePrefix="0" xfId="0">
      <alignment horizontal="center" vertical="center" wrapText="1"/>
    </xf>
    <xf numFmtId="0" fontId="0" fillId="4" borderId="2" applyAlignment="1" pivotButton="0" quotePrefix="0" xfId="0">
      <alignment vertical="center"/>
    </xf>
    <xf numFmtId="1" fontId="3" fillId="4" borderId="2" applyAlignment="1" pivotButton="0" quotePrefix="0" xfId="0">
      <alignment horizontal="right" vertical="center"/>
    </xf>
    <xf numFmtId="0" fontId="12" fillId="3" borderId="3" applyAlignment="1" pivotButton="0" quotePrefix="0" xfId="0">
      <alignment horizontal="center" vertical="center"/>
    </xf>
    <xf numFmtId="0" fontId="12" fillId="6" borderId="3" applyAlignment="1" pivotButton="0" quotePrefix="0" xfId="0">
      <alignment horizontal="center" vertical="center"/>
    </xf>
    <xf numFmtId="0" fontId="12" fillId="7" borderId="3" applyAlignment="1" pivotButton="0" quotePrefix="0" xfId="0">
      <alignment horizontal="center" vertical="center"/>
    </xf>
    <xf numFmtId="165" fontId="3" fillId="4" borderId="2" applyAlignment="1" pivotButton="0" quotePrefix="0" xfId="0">
      <alignment horizontal="right" vertical="center"/>
    </xf>
    <xf numFmtId="166" fontId="3" fillId="4" borderId="2" applyAlignment="1" pivotButton="0" quotePrefix="0" xfId="0">
      <alignment horizontal="right" vertical="center"/>
    </xf>
    <xf numFmtId="0" fontId="7" fillId="4" borderId="0" applyAlignment="1" pivotButton="0" quotePrefix="0" xfId="0">
      <alignment vertical="center"/>
    </xf>
    <xf numFmtId="0" fontId="7" fillId="4" borderId="0" applyAlignment="1" pivotButton="0" quotePrefix="0" xfId="0">
      <alignment horizontal="right" vertical="center"/>
    </xf>
    <xf numFmtId="0" fontId="8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Relationship Id="rIdSlicerCache1" Type="http://schemas.microsoft.com/office/2007/relationships/slicerCache" Target="slicerCaches/slicerCache1.xml"/><Relationship Id="rIdSlicerCache2" Type="http://schemas.microsoft.com/office/2007/relationships/slicerCache" Target="slicerCaches/slicerCache2.xml"/><Relationship Id="rIdSlicerCache3" Type="http://schemas.microsoft.com/office/2007/relationships/slicerCache" Target="slicerCaches/slicerCache3.xml"/><Relationship Id="rIdSlicerCache4" Type="http://schemas.microsoft.com/office/2007/relationships/slicerCache" Target="slicerCaches/slicerCache4.xml"/></Relationships>
</file>

<file path=xl/charts/chart1.xml><?xml version="1.0" encoding="utf-8"?>
<chartSpace xmlns="http://schemas.openxmlformats.org/drawingml/2006/chart">
  <chart>
    <title>
      <tx>
        <strRef>
          <f>'Dashboard_Summaries'!$O$4</f>
          <strCache>
            <ptCount val="1"/>
            <pt idx="0">
              <v>Closed is the largest status group (48 of 120)</v>
            </pt>
          </strCache>
        </strRef>
      </tx>
      <overlay val="0"/>
      <txPr>
        <a:bodyPr xmlns:a="http://schemas.openxmlformats.org/drawingml/2006/main"/>
        <a:p xmlns:a="http://schemas.openxmlformats.org/drawingml/2006/main">
          <a:pPr>
            <a:defRPr sz="1300" b="1">
              <a:solidFill>
                <a:srgbClr val="404040"/>
              </a:solidFill>
            </a:defRPr>
          </a:pPr>
          <a:endParaRPr sz="1300" b="1">
            <a:solidFill>
              <a:srgbClr val="404040"/>
            </a:solidFill>
          </a:endParaRPr>
        </a:p>
      </txPr>
    </title>
    <plotArea>
      <barChart>
        <barDir val="col"/>
        <grouping val="clustered"/>
        <ser>
          <idx val="0"/>
          <order val="0"/>
          <tx>
            <strRef>
              <f>'Dashboard_Summaries'!B3</f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prstDash val="solid"/>
            </a:ln>
          </spPr>
          <cat>
            <numRef>
              <f>'Dashboard_Summaries'!$A$4:$A$9</f>
            </numRef>
          </cat>
          <val>
            <numRef>
              <f>'Dashboard_Summaries'!$B$4:$B$9</f>
            </numRef>
          </val>
        </ser>
        <dLbls>
          <numFmt formatCode="0;;;" sourceLinked="0"/>
          <txPr>
            <a:bodyPr xmlns:a="http://schemas.openxmlformats.org/drawingml/2006/main"/>
            <a:p xmlns:a="http://schemas.openxmlformats.org/drawingml/2006/main">
              <a:pPr>
                <a:defRPr sz="900" b="0">
                  <a:solidFill>
                    <a:srgbClr val="404040"/>
                  </a:solidFill>
                </a:defRPr>
              </a:pPr>
              <a:endParaRPr sz="900" b="0">
                <a:solidFill>
                  <a:srgbClr val="404040"/>
                </a:solidFill>
              </a:endParaRPr>
            </a:p>
          </txPr>
          <showLegendKey val="0"/>
          <showVal val="1"/>
          <showCatName val="0"/>
          <showSerName val="0"/>
          <showPercent val="0"/>
        </dLbls>
        <gapWidth val="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404040"/>
                </a:solidFill>
              </a:defRPr>
            </a:pPr>
            <a:endParaRPr sz="900" b="0">
              <a:solidFill>
                <a:srgbClr val="404040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strRef>
          <f>'Dashboard_Summaries'!$O$5</f>
          <strCache>
            <ptCount val="1"/>
            <pt idx="0">
              <v>All five job categories are level at 24 work orders</v>
            </pt>
          </strCache>
        </strRef>
      </tx>
      <overlay val="0"/>
      <txPr>
        <a:bodyPr xmlns:a="http://schemas.openxmlformats.org/drawingml/2006/main"/>
        <a:p xmlns:a="http://schemas.openxmlformats.org/drawingml/2006/main">
          <a:pPr>
            <a:defRPr sz="1300" b="1">
              <a:solidFill>
                <a:srgbClr val="404040"/>
              </a:solidFill>
            </a:defRPr>
          </a:pPr>
          <a:endParaRPr sz="1300" b="1">
            <a:solidFill>
              <a:srgbClr val="404040"/>
            </a:solidFill>
          </a:endParaRPr>
        </a:p>
      </txPr>
    </title>
    <plotArea>
      <barChart>
        <barDir val="bar"/>
        <grouping val="clustered"/>
        <ser>
          <idx val="0"/>
          <order val="0"/>
          <tx>
            <strRef>
              <f>'Dashboard_Summaries'!E3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'Dashboard_Summaries'!$D$4:$D$8</f>
            </numRef>
          </cat>
          <val>
            <numRef>
              <f>'Dashboard_Summaries'!$E$4:$E$8</f>
            </numRef>
          </val>
        </ser>
        <dLbls>
          <numFmt formatCode="0;;;" sourceLinked="0"/>
          <txPr>
            <a:bodyPr xmlns:a="http://schemas.openxmlformats.org/drawingml/2006/main"/>
            <a:p xmlns:a="http://schemas.openxmlformats.org/drawingml/2006/main">
              <a:pPr>
                <a:defRPr sz="900" b="0">
                  <a:solidFill>
                    <a:srgbClr val="404040"/>
                  </a:solidFill>
                </a:defRPr>
              </a:pPr>
              <a:endParaRPr sz="900" b="0">
                <a:solidFill>
                  <a:srgbClr val="404040"/>
                </a:solidFill>
              </a:endParaRPr>
            </a:p>
          </txPr>
          <showLegendKey val="0"/>
          <showVal val="1"/>
          <showCatName val="0"/>
          <showSerName val="0"/>
          <showPercent val="0"/>
        </dLbls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404040"/>
                </a:solidFill>
              </a:defRPr>
            </a:pPr>
            <a:endParaRPr sz="900" b="0">
              <a:solidFill>
                <a:srgbClr val="404040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strRef>
          <f>'Dashboard_Summaries'!$O$6</f>
          <strCache>
            <ptCount val="1"/>
            <pt idx="0">
              <v>Changi Workshop has the most overdue backlog (18 of 50)</v>
            </pt>
          </strCache>
        </strRef>
      </tx>
      <overlay val="0"/>
      <txPr>
        <a:bodyPr xmlns:a="http://schemas.openxmlformats.org/drawingml/2006/main"/>
        <a:p xmlns:a="http://schemas.openxmlformats.org/drawingml/2006/main">
          <a:pPr>
            <a:defRPr sz="1300" b="1">
              <a:solidFill>
                <a:srgbClr val="404040"/>
              </a:solidFill>
            </a:defRPr>
          </a:pPr>
          <a:endParaRPr sz="1300" b="1">
            <a:solidFill>
              <a:srgbClr val="404040"/>
            </a:solidFill>
          </a:endParaRPr>
        </a:p>
      </txPr>
    </title>
    <plotArea>
      <barChart>
        <barDir val="bar"/>
        <grouping val="stacked"/>
        <ser>
          <idx val="0"/>
          <order val="0"/>
          <tx>
            <strRef>
              <f>'Dashboard_Summaries'!H3</f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prstDash val="solid"/>
            </a:ln>
          </spPr>
          <cat>
            <numRef>
              <f>'Dashboard_Summaries'!$G$4:$G$8</f>
            </numRef>
          </cat>
          <val>
            <numRef>
              <f>'Dashboard_Summaries'!$H$4:$H$8</f>
            </numRef>
          </val>
        </ser>
        <ser>
          <idx val="1"/>
          <order val="1"/>
          <tx>
            <strRef>
              <f>'Dashboard_Summaries'!I3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'Dashboard_Summaries'!$G$4:$G$8</f>
            </numRef>
          </cat>
          <val>
            <numRef>
              <f>'Dashboard_Summaries'!$I$4:$I$8</f>
            </numRef>
          </val>
        </ser>
        <ser>
          <idx val="2"/>
          <order val="2"/>
          <tx>
            <strRef>
              <f>'Dashboard_Summaries'!J3</f>
            </strRef>
          </tx>
          <spPr>
            <a:solidFill xmlns:a="http://schemas.openxmlformats.org/drawingml/2006/main">
              <a:srgbClr val="2A9D8F"/>
            </a:solidFill>
            <a:ln xmlns:a="http://schemas.openxmlformats.org/drawingml/2006/main">
              <a:prstDash val="solid"/>
            </a:ln>
          </spPr>
          <cat>
            <numRef>
              <f>'Dashboard_Summaries'!$G$4:$G$8</f>
            </numRef>
          </cat>
          <val>
            <numRef>
              <f>'Dashboard_Summaries'!$J$4:$J$8</f>
            </numRef>
          </val>
        </ser>
        <ser>
          <idx val="3"/>
          <order val="3"/>
          <tx>
            <strRef>
              <f>'Dashboard_Summaries'!K3</f>
            </strRef>
          </tx>
          <spPr>
            <a:solidFill xmlns:a="http://schemas.openxmlformats.org/drawingml/2006/main">
              <a:srgbClr val="A6A6A6"/>
            </a:solidFill>
            <a:ln xmlns:a="http://schemas.openxmlformats.org/drawingml/2006/main">
              <a:prstDash val="solid"/>
            </a:ln>
          </spPr>
          <cat>
            <numRef>
              <f>'Dashboard_Summaries'!$G$4:$G$8</f>
            </numRef>
          </cat>
          <val>
            <numRef>
              <f>'Dashboard_Summaries'!$K$4:$K$8</f>
            </numRef>
          </val>
        </ser>
        <dLbls>
          <numFmt formatCode="0;;;" sourceLinked="0"/>
          <txPr>
            <a:bodyPr xmlns:a="http://schemas.openxmlformats.org/drawingml/2006/main"/>
            <a:p xmlns:a="http://schemas.openxmlformats.org/drawingml/2006/main">
              <a:pPr>
                <a:defRPr sz="900" b="0">
                  <a:solidFill>
                    <a:srgbClr val="FFFFFF"/>
                  </a:solidFill>
                </a:defRPr>
              </a:pPr>
              <a:endParaRPr sz="900" b="0">
                <a:solidFill>
                  <a:srgbClr val="FFFFFF"/>
                </a:solidFill>
              </a:endParaRPr>
            </a:p>
          </txPr>
          <showLegendKey val="0"/>
          <showVal val="1"/>
          <showCatName val="0"/>
          <showSerName val="0"/>
          <showPercent val="0"/>
        </dLbls>
        <gapWidth val="5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404040"/>
                </a:solidFill>
              </a:defRPr>
            </a:pPr>
            <a:endParaRPr sz="900" b="0">
              <a:solidFill>
                <a:srgbClr val="404040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</a:defRPr>
          </a:pPr>
          <a:endParaRPr sz="900" b="0">
            <a:solidFill>
              <a:srgbClr val="404040"/>
            </a:solidFill>
          </a:endParaRP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:a="http://schemas.openxmlformats.org/drawingml/2006/main" xmlns="http://schemas.openxmlformats.org/drawingml/2006/spreadsheetDrawing" xmlns:xdr="http://schemas.openxmlformats.org/drawingml/2006/spreadsheetDrawing">
  <oneCellAnchor>
    <from>
      <col>3</col>
      <colOff>0</colOff>
      <row>8</row>
      <rowOff>0</rowOff>
    </from>
    <ext cx="4942857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8</row>
      <rowOff>0</rowOff>
    </from>
    <ext cx="4942857" cy="295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25</row>
      <rowOff>0</rowOff>
    </from>
    <ext cx="9885714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xdr:twoCellAnchor editAs="oneCell">
    <xdr:from>
      <xdr:col>10</xdr:col>
      <xdr:colOff>38100</xdr:colOff>
      <xdr:row>3</xdr:row>
      <xdr:rowOff>0</xdr:rowOff>
    </xdr:from>
    <xdr:to>
      <xdr:col>10</xdr:col>
      <xdr:colOff>2038350</xdr:colOff>
      <xdr:row>6</xdr:row>
      <xdr:rowOff>66675</xdr:rowOff>
    </xdr:to>
    <mc:AlternateContent xmlns:mc="http://schemas.openxmlformats.org/markup-compatibility/2006">
      <mc:Choice xmlns:sle15="http://schemas.microsoft.com/office/drawing/2012/slicer" Requires="sle15">
        <xdr:graphicFrame macro="">
          <xdr:nvGraphicFramePr>
            <xdr:cNvPr id="100" name="Site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300000" cy="160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shape represents a table slicer. Table slicers need Excel 2013 or later.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38100</xdr:colOff>
      <xdr:row>6</xdr:row>
      <xdr:rowOff>161925</xdr:rowOff>
    </xdr:from>
    <xdr:to>
      <xdr:col>10</xdr:col>
      <xdr:colOff>2038350</xdr:colOff>
      <xdr:row>14</xdr:row>
      <xdr:rowOff>142875</xdr:rowOff>
    </xdr:to>
    <mc:AlternateContent xmlns:mc="http://schemas.openxmlformats.org/markup-compatibility/2006">
      <mc:Choice xmlns:sle15="http://schemas.microsoft.com/office/drawing/2012/slicer" Requires="sle15">
        <xdr:graphicFrame macro="">
          <xdr:nvGraphicFramePr>
            <xdr:cNvPr id="101" name="Job_Category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Job_Category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300000" cy="160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shape represents a table slicer. Table slicers need Excel 2013 or later.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38100</xdr:colOff>
      <xdr:row>15</xdr:row>
      <xdr:rowOff>47625</xdr:rowOff>
    </xdr:from>
    <xdr:to>
      <xdr:col>10</xdr:col>
      <xdr:colOff>2038350</xdr:colOff>
      <xdr:row>21</xdr:row>
      <xdr:rowOff>28575</xdr:rowOff>
    </xdr:to>
    <mc:AlternateContent xmlns:mc="http://schemas.openxmlformats.org/markup-compatibility/2006">
      <mc:Choice xmlns:sle15="http://schemas.microsoft.com/office/drawing/2012/slicer" Requires="sle15">
        <xdr:graphicFrame macro="">
          <xdr:nvGraphicFramePr>
            <xdr:cNvPr id="102" name="Status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300000" cy="160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shape represents a table slicer. Table slicers need Excel 2013 or later.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38100</xdr:colOff>
      <xdr:row>21</xdr:row>
      <xdr:rowOff>123825</xdr:rowOff>
    </xdr:from>
    <xdr:to>
      <xdr:col>10</xdr:col>
      <xdr:colOff>2038350</xdr:colOff>
      <xdr:row>29</xdr:row>
      <xdr:rowOff>142875</xdr:rowOff>
    </xdr:to>
    <mc:AlternateContent xmlns:mc="http://schemas.openxmlformats.org/markup-compatibility/2006">
      <mc:Choice xmlns:sle15="http://schemas.microsoft.com/office/drawing/2012/slicer" Requires="sle15">
        <xdr:graphicFrame macro="">
          <xdr:nvGraphicFramePr>
            <xdr:cNvPr id="103" name="Assigned_T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ssigned_T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300000" cy="160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shape represents a table slicer. Table slicers need Excel 2013 or later.</a:t>
              </a:r>
            </a:p>
          </xdr:txBody>
        </xdr:sp>
      </mc:Fallback>
    </mc:AlternateContent>
    <xdr:clientData/>
  </xdr:twoCellAnchor>
</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Site" sourceName="Site">
  <extLst>
    <x:ext xmlns:x15="http://schemas.microsoft.com/office/spreadsheetml/2010/11/main" uri="{2F2917AC-EB37-4324-AD4E-5DD8C200BD13}">
      <x15:tableSlicerCache tableId="1" column="2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Job_Category" sourceName="Job_Category">
  <extLst>
    <x:ext xmlns:x15="http://schemas.microsoft.com/office/spreadsheetml/2010/11/main" uri="{2F2917AC-EB37-4324-AD4E-5DD8C200BD13}">
      <x15:tableSlicerCache tableId="1" column="3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Status" sourceName="Status">
  <extLst>
    <x:ext xmlns:x15="http://schemas.microsoft.com/office/spreadsheetml/2010/11/main" uri="{2F2917AC-EB37-4324-AD4E-5DD8C200BD13}">
      <x15:tableSlicerCache tableId="1" column="5"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Assigned_To" sourceName="Assigned_To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Site" cache="Slicer_Site" caption="Site" columnCount="1" style="SlicerStyleLight1" rowHeight="225425"/>
  <slicer name="Job_Category" cache="Slicer_Job_Category" caption="Job Category" columnCount="1" style="SlicerStyleLight1" rowHeight="225425"/>
  <slicer name="Status" cache="Slicer_Status" caption="Status" columnCount="2" style="SlicerStyleLight1" rowHeight="225425"/>
  <slicer name="Assigned_To" cache="Slicer_Assigned_To" caption="Assigned To" columnCount="2" style="SlicerStyleLight1" rowHeight="225425"/>
</slicers>
</file>

<file path=xl/tables/table1.xml><?xml version="1.0" encoding="utf-8"?>
<table xmlns="http://schemas.openxmlformats.org/spreadsheetml/2006/main" id="1" name="tblWorkOrders" displayName="tblWorkOrders" ref="A1:M121" headerRowCount="1">
  <autoFilter ref="A1:M121"/>
  <tableColumns count="13">
    <tableColumn id="1" name="Work_Order_ID"/>
    <tableColumn id="2" name="Site"/>
    <tableColumn id="3" name="Job_Category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Technicians" displayName="tblTechnicians" ref="A1:D9" headerRowCount="1">
  <autoFilter ref="A1:D9"/>
  <tableColumns count="4">
    <tableColumn id="1" name="Technician"/>
    <tableColumn id="2" name="Primary_Category"/>
    <tableColumn id="3" name="Available_Hours_Week"/>
    <tableColumn id="4" name="Home_Si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Relationship Id="rIdSlicer1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Northstar Water Services - fictional water-pipe maintenance and service company</t>
        </is>
      </c>
    </row>
    <row r="3">
      <c r="A3" s="2" t="inlineStr">
        <is>
          <t>Reporting date</t>
        </is>
      </c>
      <c r="B3" s="6" t="n">
        <v>46295</v>
      </c>
    </row>
    <row r="4">
      <c r="A4" s="2" t="inlineStr">
        <is>
          <t>Scope</t>
        </is>
      </c>
      <c r="B4" s="2" t="inlineStr">
        <is>
          <t>120 Q3 2026 work orders, five sites. All identities and records are synthetic.</t>
        </is>
      </c>
    </row>
    <row r="5">
      <c r="A5" s="2" t="inlineStr">
        <is>
          <t>Meaning</t>
        </is>
      </c>
      <c r="B5" s="2" t="inlineStr">
        <is>
          <t>Cost is cumulative recorded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Work_Order_ID</t>
        </is>
      </c>
      <c r="B1" s="1" t="inlineStr">
        <is>
          <t>Site</t>
        </is>
      </c>
      <c r="C1" s="1" t="inlineStr">
        <is>
          <t>Job_Category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WO-2026-0001</t>
        </is>
      </c>
      <c r="B2" s="2" t="inlineStr">
        <is>
          <t>Woodlands Hub</t>
        </is>
      </c>
      <c r="C2" s="2" t="inlineStr">
        <is>
          <t>Leak Repair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6" t="n">
        <v>46290</v>
      </c>
      <c r="H2" s="6" t="n">
        <v>46297</v>
      </c>
      <c r="I2" s="6" t="n">
        <v>46295</v>
      </c>
      <c r="J2" s="2" t="n">
        <v>2</v>
      </c>
      <c r="K2" s="2" t="n">
        <v>1</v>
      </c>
      <c r="L2" s="2" t="n">
        <v>90</v>
      </c>
      <c r="M2" s="2" t="inlineStr">
        <is>
          <t>Leak Repair scheduled or reactive task 001</t>
        </is>
      </c>
    </row>
    <row r="3">
      <c r="A3" s="2" t="inlineStr">
        <is>
          <t>WO-2026-0002</t>
        </is>
      </c>
      <c r="B3" s="2" t="inlineStr">
        <is>
          <t>Woodlands Hub</t>
        </is>
      </c>
      <c r="C3" s="2" t="inlineStr">
        <is>
          <t>Leak Repair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6" t="n">
        <v>46289</v>
      </c>
      <c r="H3" s="6" t="n">
        <v>46297</v>
      </c>
      <c r="I3" s="6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Leak Repair scheduled or reactive task 002</t>
        </is>
      </c>
    </row>
    <row r="4">
      <c r="A4" s="2" t="inlineStr">
        <is>
          <t>WO-2026-0003</t>
        </is>
      </c>
      <c r="B4" s="2" t="inlineStr">
        <is>
          <t>Woodlands Hub</t>
        </is>
      </c>
      <c r="C4" s="2" t="inlineStr">
        <is>
          <t>Leak Repair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6" t="n">
        <v>46288</v>
      </c>
      <c r="H4" s="6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Leak Repair scheduled or reactive task 003</t>
        </is>
      </c>
    </row>
    <row r="5">
      <c r="A5" s="2" t="inlineStr">
        <is>
          <t>WO-2026-0004</t>
        </is>
      </c>
      <c r="B5" s="2" t="inlineStr">
        <is>
          <t>Jurong Depot</t>
        </is>
      </c>
      <c r="C5" s="2" t="inlineStr">
        <is>
          <t>Leak Repair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6" t="n">
        <v>46287</v>
      </c>
      <c r="H5" s="6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Leak Repair scheduled or reactive task 004</t>
        </is>
      </c>
    </row>
    <row r="6">
      <c r="A6" s="2" t="inlineStr">
        <is>
          <t>WO-2026-0005</t>
        </is>
      </c>
      <c r="B6" s="2" t="inlineStr">
        <is>
          <t>Jurong Depot</t>
        </is>
      </c>
      <c r="C6" s="2" t="inlineStr">
        <is>
          <t>Valve Repair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6" t="n">
        <v>46286</v>
      </c>
      <c r="H6" s="6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Valve Repair scheduled or reactive task 005</t>
        </is>
      </c>
    </row>
    <row r="7">
      <c r="A7" s="2" t="inlineStr">
        <is>
          <t>WO-2026-0006</t>
        </is>
      </c>
      <c r="B7" s="2" t="inlineStr">
        <is>
          <t>Jurong Depot</t>
        </is>
      </c>
      <c r="C7" s="2" t="inlineStr">
        <is>
          <t>Valve Repair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6" t="n">
        <v>46285</v>
      </c>
      <c r="H7" s="6" t="n">
        <v>46297</v>
      </c>
      <c r="I7" s="6" t="n">
        <v>46295</v>
      </c>
      <c r="J7" s="2" t="n">
        <v>7</v>
      </c>
      <c r="K7" s="2" t="n">
        <v>6</v>
      </c>
      <c r="L7" s="2" t="n">
        <v>267.5</v>
      </c>
      <c r="M7" s="2" t="inlineStr">
        <is>
          <t>Valve Repair scheduled or reactive task 006</t>
        </is>
      </c>
    </row>
    <row r="8">
      <c r="A8" s="2" t="inlineStr">
        <is>
          <t>WO-2026-0007</t>
        </is>
      </c>
      <c r="B8" s="2" t="inlineStr">
        <is>
          <t>Tampines Centre</t>
        </is>
      </c>
      <c r="C8" s="2" t="inlineStr">
        <is>
          <t>Valve Repair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6" t="n">
        <v>46284</v>
      </c>
      <c r="H8" s="6" t="n">
        <v>46297</v>
      </c>
      <c r="I8" s="6" t="n">
        <v>46295</v>
      </c>
      <c r="J8" s="2" t="n">
        <v>8</v>
      </c>
      <c r="K8" s="2" t="n">
        <v>7</v>
      </c>
      <c r="L8" s="2" t="n">
        <v>303</v>
      </c>
      <c r="M8" s="2" t="inlineStr">
        <is>
          <t>Valve Repair scheduled or reactive task 007</t>
        </is>
      </c>
    </row>
    <row r="9">
      <c r="A9" s="2" t="inlineStr">
        <is>
          <t>WO-2026-0008</t>
        </is>
      </c>
      <c r="B9" s="2" t="inlineStr">
        <is>
          <t>Tampines Centre</t>
        </is>
      </c>
      <c r="C9" s="2" t="inlineStr">
        <is>
          <t>Valve Repair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6" t="n">
        <v>46283</v>
      </c>
      <c r="H9" s="6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Valve Repair scheduled or reactive task 008</t>
        </is>
      </c>
    </row>
    <row r="10">
      <c r="A10" s="2" t="inlineStr">
        <is>
          <t>WO-2026-0009</t>
        </is>
      </c>
      <c r="B10" s="2" t="inlineStr">
        <is>
          <t>Tampines Centre</t>
        </is>
      </c>
      <c r="C10" s="2" t="inlineStr">
        <is>
          <t>Pipe Replacement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6" t="n">
        <v>46282</v>
      </c>
      <c r="H10" s="6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Pipe Replacement scheduled or reactive task 009</t>
        </is>
      </c>
    </row>
    <row r="11">
      <c r="A11" s="2" t="inlineStr">
        <is>
          <t>WO-2026-0010</t>
        </is>
      </c>
      <c r="B11" s="2" t="inlineStr">
        <is>
          <t>Paya Lebar Office</t>
        </is>
      </c>
      <c r="C11" s="2" t="inlineStr">
        <is>
          <t>Pipe Replacement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6" t="n">
        <v>46281</v>
      </c>
      <c r="H11" s="6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Pipe Replacement scheduled or reactive task 010</t>
        </is>
      </c>
    </row>
    <row r="12">
      <c r="A12" s="2" t="inlineStr">
        <is>
          <t>WO-2026-0011</t>
        </is>
      </c>
      <c r="B12" s="2" t="inlineStr">
        <is>
          <t>Paya Lebar Office</t>
        </is>
      </c>
      <c r="C12" s="2" t="inlineStr">
        <is>
          <t>Pipe Replacement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6" t="n">
        <v>46280</v>
      </c>
      <c r="H12" s="6" t="n">
        <v>46287</v>
      </c>
      <c r="I12" s="6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Pipe Replacement scheduled or reactive task 011</t>
        </is>
      </c>
    </row>
    <row r="13">
      <c r="A13" s="2" t="inlineStr">
        <is>
          <t>WO-2026-0012</t>
        </is>
      </c>
      <c r="B13" s="2" t="inlineStr">
        <is>
          <t>Paya Lebar Office</t>
        </is>
      </c>
      <c r="C13" s="2" t="inlineStr">
        <is>
          <t>Pipe Replacement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6" t="n">
        <v>46279</v>
      </c>
      <c r="H13" s="6" t="n">
        <v>46287</v>
      </c>
      <c r="I13" s="6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Pipe Replacement scheduled or reactive task 012</t>
        </is>
      </c>
    </row>
    <row r="14">
      <c r="A14" s="2" t="inlineStr">
        <is>
          <t>WO-2026-0013</t>
        </is>
      </c>
      <c r="B14" s="2" t="inlineStr">
        <is>
          <t>Changi Workshop</t>
        </is>
      </c>
      <c r="C14" s="2" t="inlineStr">
        <is>
          <t>Pump Service</t>
        </is>
      </c>
      <c r="D14" s="2" t="inlineStr">
        <is>
          <t>Low</t>
        </is>
      </c>
      <c r="E14" s="2" t="inlineStr">
        <is>
          <t>New</t>
        </is>
      </c>
      <c r="F14" s="2" t="n"/>
      <c r="G14" s="6" t="n">
        <v>46278</v>
      </c>
      <c r="H14" s="6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Pump Service scheduled or reactive task 013</t>
        </is>
      </c>
    </row>
    <row r="15">
      <c r="A15" s="2" t="inlineStr">
        <is>
          <t>WO-2026-0014</t>
        </is>
      </c>
      <c r="B15" s="2" t="inlineStr">
        <is>
          <t>Changi Workshop</t>
        </is>
      </c>
      <c r="C15" s="2" t="inlineStr">
        <is>
          <t>Pump Service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6" t="n">
        <v>46277</v>
      </c>
      <c r="H15" s="6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Pump Service scheduled or reactive task 014</t>
        </is>
      </c>
    </row>
    <row r="16">
      <c r="A16" s="2" t="inlineStr">
        <is>
          <t>WO-2026-0015</t>
        </is>
      </c>
      <c r="B16" s="2" t="inlineStr">
        <is>
          <t>Changi Workshop</t>
        </is>
      </c>
      <c r="C16" s="2" t="inlineStr">
        <is>
          <t>Pump Service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6" t="n">
        <v>46276</v>
      </c>
      <c r="H16" s="6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Pump Service scheduled or reactive task 015</t>
        </is>
      </c>
    </row>
    <row r="17">
      <c r="A17" s="2" t="inlineStr">
        <is>
          <t>WO-2026-0016</t>
        </is>
      </c>
      <c r="B17" s="2" t="inlineStr">
        <is>
          <t>Woodlands Hub</t>
        </is>
      </c>
      <c r="C17" s="2" t="inlineStr">
        <is>
          <t>Pump Service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6" t="n">
        <v>46275</v>
      </c>
      <c r="H17" s="6" t="n">
        <v>46287</v>
      </c>
      <c r="I17" s="6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Pump Service scheduled or reactive task 016</t>
        </is>
      </c>
    </row>
    <row r="18">
      <c r="A18" s="2" t="inlineStr">
        <is>
          <t>WO-2026-0017</t>
        </is>
      </c>
      <c r="B18" s="2" t="inlineStr">
        <is>
          <t>Woodlands Hub</t>
        </is>
      </c>
      <c r="C18" s="2" t="inlineStr">
        <is>
          <t>Meter Service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6" t="n">
        <v>46274</v>
      </c>
      <c r="H18" s="6" t="n">
        <v>46287</v>
      </c>
      <c r="I18" s="6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Meter Service scheduled or reactive task 017</t>
        </is>
      </c>
    </row>
    <row r="19">
      <c r="A19" s="2" t="inlineStr">
        <is>
          <t>WO-2026-0018</t>
        </is>
      </c>
      <c r="B19" s="2" t="inlineStr">
        <is>
          <t>Woodlands Hub</t>
        </is>
      </c>
      <c r="C19" s="2" t="inlineStr">
        <is>
          <t>Meter Service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6" t="n">
        <v>46273</v>
      </c>
      <c r="H19" s="6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Meter Service scheduled or reactive task 018</t>
        </is>
      </c>
    </row>
    <row r="20">
      <c r="A20" s="2" t="inlineStr">
        <is>
          <t>WO-2026-0019</t>
        </is>
      </c>
      <c r="B20" s="2" t="inlineStr">
        <is>
          <t>Jurong Depot</t>
        </is>
      </c>
      <c r="C20" s="2" t="inlineStr">
        <is>
          <t>Meter Service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6" t="n">
        <v>46272</v>
      </c>
      <c r="H20" s="6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Meter Service scheduled or reactive task 019</t>
        </is>
      </c>
    </row>
    <row r="21">
      <c r="A21" s="2" t="inlineStr">
        <is>
          <t>WO-2026-0020</t>
        </is>
      </c>
      <c r="B21" s="2" t="inlineStr">
        <is>
          <t>Jurong Depot</t>
        </is>
      </c>
      <c r="C21" s="2" t="inlineStr">
        <is>
          <t>Meter Service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6" t="n">
        <v>46271</v>
      </c>
      <c r="H21" s="6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Meter Service scheduled or reactive task 020</t>
        </is>
      </c>
    </row>
    <row r="22">
      <c r="A22" s="2" t="inlineStr">
        <is>
          <t>WO-2026-0021</t>
        </is>
      </c>
      <c r="B22" s="2" t="inlineStr">
        <is>
          <t>Jurong Depot</t>
        </is>
      </c>
      <c r="C22" s="2" t="inlineStr">
        <is>
          <t>Leak Repair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6" t="n">
        <v>46270</v>
      </c>
      <c r="H22" s="6" t="n">
        <v>46277</v>
      </c>
      <c r="I22" s="6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Leak Repair scheduled or reactive task 021</t>
        </is>
      </c>
    </row>
    <row r="23">
      <c r="A23" s="2" t="inlineStr">
        <is>
          <t>WO-2026-0022</t>
        </is>
      </c>
      <c r="B23" s="2" t="inlineStr">
        <is>
          <t>Tampines Centre</t>
        </is>
      </c>
      <c r="C23" s="2" t="inlineStr">
        <is>
          <t>Leak Repair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6" t="n">
        <v>46269</v>
      </c>
      <c r="H23" s="6" t="n">
        <v>46277</v>
      </c>
      <c r="I23" s="6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Leak Repair scheduled or reactive task 022</t>
        </is>
      </c>
    </row>
    <row r="24">
      <c r="A24" s="2" t="inlineStr">
        <is>
          <t>WO-2026-0023</t>
        </is>
      </c>
      <c r="B24" s="2" t="inlineStr">
        <is>
          <t>Tampines Centre</t>
        </is>
      </c>
      <c r="C24" s="2" t="inlineStr">
        <is>
          <t>Leak Repair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6" t="n">
        <v>46268</v>
      </c>
      <c r="H24" s="6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Leak Repair scheduled or reactive task 023</t>
        </is>
      </c>
    </row>
    <row r="25">
      <c r="A25" s="2" t="inlineStr">
        <is>
          <t>WO-2026-0024</t>
        </is>
      </c>
      <c r="B25" s="2" t="inlineStr">
        <is>
          <t>Tampines Centre</t>
        </is>
      </c>
      <c r="C25" s="2" t="inlineStr">
        <is>
          <t>Leak Repair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6" t="n">
        <v>46267</v>
      </c>
      <c r="H25" s="6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Leak Repair scheduled or reactive task 024</t>
        </is>
      </c>
    </row>
    <row r="26">
      <c r="A26" s="2" t="inlineStr">
        <is>
          <t>WO-2026-0025</t>
        </is>
      </c>
      <c r="B26" s="2" t="inlineStr">
        <is>
          <t>Paya Lebar Office</t>
        </is>
      </c>
      <c r="C26" s="2" t="inlineStr">
        <is>
          <t>Valve Repair</t>
        </is>
      </c>
      <c r="D26" s="2" t="inlineStr">
        <is>
          <t>Low</t>
        </is>
      </c>
      <c r="E26" s="2" t="inlineStr">
        <is>
          <t>New</t>
        </is>
      </c>
      <c r="F26" s="2" t="n"/>
      <c r="G26" s="6" t="n">
        <v>46266</v>
      </c>
      <c r="H26" s="6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Valve Repair scheduled or reactive task 025</t>
        </is>
      </c>
    </row>
    <row r="27">
      <c r="A27" s="2" t="inlineStr">
        <is>
          <t>WO-2026-0026</t>
        </is>
      </c>
      <c r="B27" s="2" t="inlineStr">
        <is>
          <t>Paya Lebar Office</t>
        </is>
      </c>
      <c r="C27" s="2" t="inlineStr">
        <is>
          <t>Valve Repair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6" t="n">
        <v>46265</v>
      </c>
      <c r="H27" s="6" t="n">
        <v>46277</v>
      </c>
      <c r="I27" s="6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Valve Repair scheduled or reactive task 026</t>
        </is>
      </c>
    </row>
    <row r="28">
      <c r="A28" s="2" t="inlineStr">
        <is>
          <t>WO-2026-0027</t>
        </is>
      </c>
      <c r="B28" s="2" t="inlineStr">
        <is>
          <t>Paya Lebar Office</t>
        </is>
      </c>
      <c r="C28" s="2" t="inlineStr">
        <is>
          <t>Valve Repair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6" t="n">
        <v>46264</v>
      </c>
      <c r="H28" s="6" t="n">
        <v>46277</v>
      </c>
      <c r="I28" s="6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Valve Repair scheduled or reactive task 027</t>
        </is>
      </c>
    </row>
    <row r="29">
      <c r="A29" s="2" t="inlineStr">
        <is>
          <t>WO-2026-0028</t>
        </is>
      </c>
      <c r="B29" s="2" t="inlineStr">
        <is>
          <t>Changi Workshop</t>
        </is>
      </c>
      <c r="C29" s="2" t="inlineStr">
        <is>
          <t>Valve Repair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6" t="n">
        <v>46263</v>
      </c>
      <c r="H29" s="6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Valve Repair scheduled or reactive task 028</t>
        </is>
      </c>
    </row>
    <row r="30">
      <c r="A30" s="2" t="inlineStr">
        <is>
          <t>WO-2026-0029</t>
        </is>
      </c>
      <c r="B30" s="2" t="inlineStr">
        <is>
          <t>Changi Workshop</t>
        </is>
      </c>
      <c r="C30" s="2" t="inlineStr">
        <is>
          <t>Pipe Replacement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6" t="n">
        <v>46262</v>
      </c>
      <c r="H30" s="6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Pipe Replacement scheduled or reactive task 029</t>
        </is>
      </c>
    </row>
    <row r="31">
      <c r="A31" s="2" t="inlineStr">
        <is>
          <t>WO-2026-0030</t>
        </is>
      </c>
      <c r="B31" s="2" t="inlineStr">
        <is>
          <t>Changi Workshop</t>
        </is>
      </c>
      <c r="C31" s="2" t="inlineStr">
        <is>
          <t>Pipe Replacement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6" t="n">
        <v>46261</v>
      </c>
      <c r="H31" s="6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Pipe Replacement scheduled or reactive task 030</t>
        </is>
      </c>
    </row>
    <row r="32">
      <c r="A32" s="2" t="inlineStr">
        <is>
          <t>WO-2026-0031</t>
        </is>
      </c>
      <c r="B32" s="2" t="inlineStr">
        <is>
          <t>Woodlands Hub</t>
        </is>
      </c>
      <c r="C32" s="2" t="inlineStr">
        <is>
          <t>Pipe Replacement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6" t="n">
        <v>46260</v>
      </c>
      <c r="H32" s="6" t="n">
        <v>46267</v>
      </c>
      <c r="I32" s="6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Pipe Replacement scheduled or reactive task 031</t>
        </is>
      </c>
    </row>
    <row r="33">
      <c r="A33" s="2" t="inlineStr">
        <is>
          <t>WO-2026-0032</t>
        </is>
      </c>
      <c r="B33" s="2" t="inlineStr">
        <is>
          <t>Woodlands Hub</t>
        </is>
      </c>
      <c r="C33" s="2" t="inlineStr">
        <is>
          <t>Pipe Replacement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6" t="n">
        <v>46259</v>
      </c>
      <c r="H33" s="6" t="n">
        <v>46267</v>
      </c>
      <c r="I33" s="6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Pipe Replacement scheduled or reactive task 032</t>
        </is>
      </c>
    </row>
    <row r="34">
      <c r="A34" s="2" t="inlineStr">
        <is>
          <t>WO-2026-0033</t>
        </is>
      </c>
      <c r="B34" s="2" t="inlineStr">
        <is>
          <t>Woodlands Hub</t>
        </is>
      </c>
      <c r="C34" s="2" t="inlineStr">
        <is>
          <t>Pump Service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6" t="n">
        <v>46258</v>
      </c>
      <c r="H34" s="6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Pump Service scheduled or reactive task 033</t>
        </is>
      </c>
    </row>
    <row r="35">
      <c r="A35" s="2" t="inlineStr">
        <is>
          <t>WO-2026-0034</t>
        </is>
      </c>
      <c r="B35" s="2" t="inlineStr">
        <is>
          <t>Jurong Depot</t>
        </is>
      </c>
      <c r="C35" s="2" t="inlineStr">
        <is>
          <t>Pump Service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6" t="n">
        <v>46257</v>
      </c>
      <c r="H35" s="6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Pump Service scheduled or reactive task 034</t>
        </is>
      </c>
    </row>
    <row r="36">
      <c r="A36" s="2" t="inlineStr">
        <is>
          <t>WO-2026-0035</t>
        </is>
      </c>
      <c r="B36" s="2" t="inlineStr">
        <is>
          <t>Jurong Depot</t>
        </is>
      </c>
      <c r="C36" s="2" t="inlineStr">
        <is>
          <t>Pump Service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6" t="n">
        <v>46256</v>
      </c>
      <c r="H36" s="6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Pump Service scheduled or reactive task 035</t>
        </is>
      </c>
    </row>
    <row r="37">
      <c r="A37" s="2" t="inlineStr">
        <is>
          <t>WO-2026-0036</t>
        </is>
      </c>
      <c r="B37" s="2" t="inlineStr">
        <is>
          <t>Jurong Depot</t>
        </is>
      </c>
      <c r="C37" s="2" t="inlineStr">
        <is>
          <t>Pump Service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6" t="n">
        <v>46255</v>
      </c>
      <c r="H37" s="6" t="n">
        <v>46267</v>
      </c>
      <c r="I37" s="6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Pump Service scheduled or reactive task 036</t>
        </is>
      </c>
    </row>
    <row r="38">
      <c r="A38" s="2" t="inlineStr">
        <is>
          <t>WO-2026-0037</t>
        </is>
      </c>
      <c r="B38" s="2" t="inlineStr">
        <is>
          <t>Tampines Centre</t>
        </is>
      </c>
      <c r="C38" s="2" t="inlineStr">
        <is>
          <t>Meter Service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6" t="n">
        <v>46254</v>
      </c>
      <c r="H38" s="6" t="n">
        <v>46267</v>
      </c>
      <c r="I38" s="6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Meter Service scheduled or reactive task 037</t>
        </is>
      </c>
    </row>
    <row r="39">
      <c r="A39" s="2" t="inlineStr">
        <is>
          <t>WO-2026-0038</t>
        </is>
      </c>
      <c r="B39" s="2" t="inlineStr">
        <is>
          <t>Tampines Centre</t>
        </is>
      </c>
      <c r="C39" s="2" t="inlineStr">
        <is>
          <t>Meter Service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6" t="n">
        <v>46253</v>
      </c>
      <c r="H39" s="6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Meter Service scheduled or reactive task 038</t>
        </is>
      </c>
    </row>
    <row r="40">
      <c r="A40" s="2" t="inlineStr">
        <is>
          <t>WO-2026-0039</t>
        </is>
      </c>
      <c r="B40" s="2" t="inlineStr">
        <is>
          <t>Tampines Centre</t>
        </is>
      </c>
      <c r="C40" s="2" t="inlineStr">
        <is>
          <t>Meter Service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6" t="n">
        <v>46252</v>
      </c>
      <c r="H40" s="6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Meter Service scheduled or reactive task 039</t>
        </is>
      </c>
    </row>
    <row r="41">
      <c r="A41" s="2" t="inlineStr">
        <is>
          <t>WO-2026-0040</t>
        </is>
      </c>
      <c r="B41" s="2" t="inlineStr">
        <is>
          <t>Paya Lebar Office</t>
        </is>
      </c>
      <c r="C41" s="2" t="inlineStr">
        <is>
          <t>Meter Service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6" t="n">
        <v>46251</v>
      </c>
      <c r="H41" s="6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Meter Service scheduled or reactive task 040</t>
        </is>
      </c>
    </row>
    <row r="42">
      <c r="A42" s="2" t="inlineStr">
        <is>
          <t>WO-2026-0041</t>
        </is>
      </c>
      <c r="B42" s="2" t="inlineStr">
        <is>
          <t>Paya Lebar Office</t>
        </is>
      </c>
      <c r="C42" s="2" t="inlineStr">
        <is>
          <t>Leak Repair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6" t="n">
        <v>46250</v>
      </c>
      <c r="H42" s="6" t="n">
        <v>46257</v>
      </c>
      <c r="I42" s="6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Leak Repair scheduled or reactive task 041</t>
        </is>
      </c>
    </row>
    <row r="43">
      <c r="A43" s="2" t="inlineStr">
        <is>
          <t>WO-2026-0042</t>
        </is>
      </c>
      <c r="B43" s="2" t="inlineStr">
        <is>
          <t>Paya Lebar Office</t>
        </is>
      </c>
      <c r="C43" s="2" t="inlineStr">
        <is>
          <t>Leak Repair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6" t="n">
        <v>46249</v>
      </c>
      <c r="H43" s="6" t="n">
        <v>46257</v>
      </c>
      <c r="I43" s="6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Leak Repair scheduled or reactive task 042</t>
        </is>
      </c>
    </row>
    <row r="44">
      <c r="A44" s="2" t="inlineStr">
        <is>
          <t>WO-2026-0043</t>
        </is>
      </c>
      <c r="B44" s="2" t="inlineStr">
        <is>
          <t>Changi Workshop</t>
        </is>
      </c>
      <c r="C44" s="2" t="inlineStr">
        <is>
          <t>Leak Repair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6" t="n">
        <v>46248</v>
      </c>
      <c r="H44" s="6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Leak Repair scheduled or reactive task 043</t>
        </is>
      </c>
    </row>
    <row r="45">
      <c r="A45" s="2" t="inlineStr">
        <is>
          <t>WO-2026-0044</t>
        </is>
      </c>
      <c r="B45" s="2" t="inlineStr">
        <is>
          <t>Changi Workshop</t>
        </is>
      </c>
      <c r="C45" s="2" t="inlineStr">
        <is>
          <t>Leak Repair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6" t="n">
        <v>46247</v>
      </c>
      <c r="H45" s="6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Leak Repair scheduled or reactive task 044</t>
        </is>
      </c>
    </row>
    <row r="46">
      <c r="A46" s="2" t="inlineStr">
        <is>
          <t>WO-2026-0045</t>
        </is>
      </c>
      <c r="B46" s="2" t="inlineStr">
        <is>
          <t>Changi Workshop</t>
        </is>
      </c>
      <c r="C46" s="2" t="inlineStr">
        <is>
          <t>Valve Repair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6" t="n">
        <v>46246</v>
      </c>
      <c r="H46" s="6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Valve Repair scheduled or reactive task 045</t>
        </is>
      </c>
    </row>
    <row r="47">
      <c r="A47" s="2" t="inlineStr">
        <is>
          <t>WO-2026-0046</t>
        </is>
      </c>
      <c r="B47" s="2" t="inlineStr">
        <is>
          <t>Woodlands Hub</t>
        </is>
      </c>
      <c r="C47" s="2" t="inlineStr">
        <is>
          <t>Valve Repair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6" t="n">
        <v>46245</v>
      </c>
      <c r="H47" s="6" t="n">
        <v>46257</v>
      </c>
      <c r="I47" s="6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Valve Repair scheduled or reactive task 046</t>
        </is>
      </c>
    </row>
    <row r="48">
      <c r="A48" s="2" t="inlineStr">
        <is>
          <t>WO-2026-0047</t>
        </is>
      </c>
      <c r="B48" s="2" t="inlineStr">
        <is>
          <t>Woodlands Hub</t>
        </is>
      </c>
      <c r="C48" s="2" t="inlineStr">
        <is>
          <t>Valve Repair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6" t="n">
        <v>46244</v>
      </c>
      <c r="H48" s="6" t="n">
        <v>46257</v>
      </c>
      <c r="I48" s="6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Valve Repair scheduled or reactive task 047</t>
        </is>
      </c>
    </row>
    <row r="49">
      <c r="A49" s="2" t="inlineStr">
        <is>
          <t>WO-2026-0048</t>
        </is>
      </c>
      <c r="B49" s="2" t="inlineStr">
        <is>
          <t>Woodlands Hub</t>
        </is>
      </c>
      <c r="C49" s="2" t="inlineStr">
        <is>
          <t>Valve Repair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6" t="n">
        <v>46243</v>
      </c>
      <c r="H49" s="6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Valve Repair scheduled or reactive task 048</t>
        </is>
      </c>
    </row>
    <row r="50">
      <c r="A50" s="2" t="inlineStr">
        <is>
          <t>WO-2026-0049</t>
        </is>
      </c>
      <c r="B50" s="2" t="inlineStr">
        <is>
          <t>Jurong Depot</t>
        </is>
      </c>
      <c r="C50" s="2" t="inlineStr">
        <is>
          <t>Pipe Replacement</t>
        </is>
      </c>
      <c r="D50" s="2" t="inlineStr">
        <is>
          <t>Low</t>
        </is>
      </c>
      <c r="E50" s="2" t="inlineStr">
        <is>
          <t>New</t>
        </is>
      </c>
      <c r="F50" s="2" t="n"/>
      <c r="G50" s="6" t="n">
        <v>46242</v>
      </c>
      <c r="H50" s="6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Pipe Replacement scheduled or reactive task 049</t>
        </is>
      </c>
    </row>
    <row r="51">
      <c r="A51" s="2" t="inlineStr">
        <is>
          <t>WO-2026-0050</t>
        </is>
      </c>
      <c r="B51" s="2" t="inlineStr">
        <is>
          <t>Jurong Depot</t>
        </is>
      </c>
      <c r="C51" s="2" t="inlineStr">
        <is>
          <t>Pipe Replacement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6" t="n">
        <v>46241</v>
      </c>
      <c r="H51" s="6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Pipe Replacement scheduled or reactive task 050</t>
        </is>
      </c>
    </row>
    <row r="52">
      <c r="A52" s="2" t="inlineStr">
        <is>
          <t>WO-2026-0051</t>
        </is>
      </c>
      <c r="B52" s="2" t="inlineStr">
        <is>
          <t>Jurong Depot</t>
        </is>
      </c>
      <c r="C52" s="2" t="inlineStr">
        <is>
          <t>Pipe Replacement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6" t="n">
        <v>46240</v>
      </c>
      <c r="H52" s="6" t="n">
        <v>46247</v>
      </c>
      <c r="I52" s="6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Pipe Replacement scheduled or reactive task 051</t>
        </is>
      </c>
    </row>
    <row r="53">
      <c r="A53" s="2" t="inlineStr">
        <is>
          <t>WO-2026-0052</t>
        </is>
      </c>
      <c r="B53" s="2" t="inlineStr">
        <is>
          <t>Tampines Centre</t>
        </is>
      </c>
      <c r="C53" s="2" t="inlineStr">
        <is>
          <t>Pipe Replacement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6" t="n">
        <v>46239</v>
      </c>
      <c r="H53" s="6" t="n">
        <v>46247</v>
      </c>
      <c r="I53" s="6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Pipe Replacement scheduled or reactive task 052</t>
        </is>
      </c>
    </row>
    <row r="54">
      <c r="A54" s="2" t="inlineStr">
        <is>
          <t>WO-2026-0053</t>
        </is>
      </c>
      <c r="B54" s="2" t="inlineStr">
        <is>
          <t>Tampines Centre</t>
        </is>
      </c>
      <c r="C54" s="2" t="inlineStr">
        <is>
          <t>Pump Service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6" t="n">
        <v>46238</v>
      </c>
      <c r="H54" s="6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Pump Service scheduled or reactive task 053</t>
        </is>
      </c>
    </row>
    <row r="55">
      <c r="A55" s="2" t="inlineStr">
        <is>
          <t>WO-2026-0054</t>
        </is>
      </c>
      <c r="B55" s="2" t="inlineStr">
        <is>
          <t>Tampines Centre</t>
        </is>
      </c>
      <c r="C55" s="2" t="inlineStr">
        <is>
          <t>Pump Service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6" t="n">
        <v>46237</v>
      </c>
      <c r="H55" s="6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Pump Service scheduled or reactive task 054</t>
        </is>
      </c>
    </row>
    <row r="56">
      <c r="A56" s="2" t="inlineStr">
        <is>
          <t>WO-2026-0055</t>
        </is>
      </c>
      <c r="B56" s="2" t="inlineStr">
        <is>
          <t>Paya Lebar Office</t>
        </is>
      </c>
      <c r="C56" s="2" t="inlineStr">
        <is>
          <t>Pump Service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6" t="n">
        <v>46236</v>
      </c>
      <c r="H56" s="6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Pump Service scheduled or reactive task 055</t>
        </is>
      </c>
    </row>
    <row r="57">
      <c r="A57" s="2" t="inlineStr">
        <is>
          <t>WO-2026-0056</t>
        </is>
      </c>
      <c r="B57" s="2" t="inlineStr">
        <is>
          <t>Paya Lebar Office</t>
        </is>
      </c>
      <c r="C57" s="2" t="inlineStr">
        <is>
          <t>Pump Service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6" t="n">
        <v>46235</v>
      </c>
      <c r="H57" s="6" t="n">
        <v>46247</v>
      </c>
      <c r="I57" s="6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Pump Service scheduled or reactive task 056</t>
        </is>
      </c>
    </row>
    <row r="58">
      <c r="A58" s="2" t="inlineStr">
        <is>
          <t>WO-2026-0057</t>
        </is>
      </c>
      <c r="B58" s="2" t="inlineStr">
        <is>
          <t>Paya Lebar Office</t>
        </is>
      </c>
      <c r="C58" s="2" t="inlineStr">
        <is>
          <t>Meter Service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6" t="n">
        <v>46234</v>
      </c>
      <c r="H58" s="6" t="n">
        <v>46247</v>
      </c>
      <c r="I58" s="6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Meter Service scheduled or reactive task 057</t>
        </is>
      </c>
    </row>
    <row r="59">
      <c r="A59" s="2" t="inlineStr">
        <is>
          <t>WO-2026-0058</t>
        </is>
      </c>
      <c r="B59" s="2" t="inlineStr">
        <is>
          <t>Changi Workshop</t>
        </is>
      </c>
      <c r="C59" s="2" t="inlineStr">
        <is>
          <t>Meter Service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6" t="n">
        <v>46233</v>
      </c>
      <c r="H59" s="6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Meter Service scheduled or reactive task 058</t>
        </is>
      </c>
    </row>
    <row r="60">
      <c r="A60" s="2" t="inlineStr">
        <is>
          <t>WO-2026-0059</t>
        </is>
      </c>
      <c r="B60" s="2" t="inlineStr">
        <is>
          <t>Changi Workshop</t>
        </is>
      </c>
      <c r="C60" s="2" t="inlineStr">
        <is>
          <t>Meter Service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6" t="n">
        <v>46232</v>
      </c>
      <c r="H60" s="6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Meter Service scheduled or reactive task 059</t>
        </is>
      </c>
    </row>
    <row r="61">
      <c r="A61" s="2" t="inlineStr">
        <is>
          <t>WO-2026-0060</t>
        </is>
      </c>
      <c r="B61" s="2" t="inlineStr">
        <is>
          <t>Changi Workshop</t>
        </is>
      </c>
      <c r="C61" s="2" t="inlineStr">
        <is>
          <t>Meter Service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6" t="n">
        <v>46231</v>
      </c>
      <c r="H61" s="6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Meter Service scheduled or reactive task 060</t>
        </is>
      </c>
    </row>
    <row r="62">
      <c r="A62" s="2" t="inlineStr">
        <is>
          <t>WO-2026-0061</t>
        </is>
      </c>
      <c r="B62" s="2" t="inlineStr">
        <is>
          <t>Woodlands Hub</t>
        </is>
      </c>
      <c r="C62" s="2" t="inlineStr">
        <is>
          <t>Leak Repair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6" t="n">
        <v>46230</v>
      </c>
      <c r="H62" s="6" t="n">
        <v>46237</v>
      </c>
      <c r="I62" s="6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Leak Repair scheduled or reactive task 061</t>
        </is>
      </c>
    </row>
    <row r="63">
      <c r="A63" s="2" t="inlineStr">
        <is>
          <t>WO-2026-0062</t>
        </is>
      </c>
      <c r="B63" s="2" t="inlineStr">
        <is>
          <t>Woodlands Hub</t>
        </is>
      </c>
      <c r="C63" s="2" t="inlineStr">
        <is>
          <t>Leak Repair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6" t="n">
        <v>46229</v>
      </c>
      <c r="H63" s="6" t="n">
        <v>46237</v>
      </c>
      <c r="I63" s="6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Leak Repair scheduled or reactive task 062</t>
        </is>
      </c>
    </row>
    <row r="64">
      <c r="A64" s="2" t="inlineStr">
        <is>
          <t>WO-2026-0063</t>
        </is>
      </c>
      <c r="B64" s="2" t="inlineStr">
        <is>
          <t>Woodlands Hub</t>
        </is>
      </c>
      <c r="C64" s="2" t="inlineStr">
        <is>
          <t>Leak Repair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6" t="n">
        <v>46228</v>
      </c>
      <c r="H64" s="6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Leak Repair scheduled or reactive task 063</t>
        </is>
      </c>
    </row>
    <row r="65">
      <c r="A65" s="2" t="inlineStr">
        <is>
          <t>WO-2026-0064</t>
        </is>
      </c>
      <c r="B65" s="2" t="inlineStr">
        <is>
          <t>Jurong Depot</t>
        </is>
      </c>
      <c r="C65" s="2" t="inlineStr">
        <is>
          <t>Leak Repair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6" t="n">
        <v>46227</v>
      </c>
      <c r="H65" s="6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Leak Repair scheduled or reactive task 064</t>
        </is>
      </c>
    </row>
    <row r="66">
      <c r="A66" s="2" t="inlineStr">
        <is>
          <t>WO-2026-0065</t>
        </is>
      </c>
      <c r="B66" s="2" t="inlineStr">
        <is>
          <t>Jurong Depot</t>
        </is>
      </c>
      <c r="C66" s="2" t="inlineStr">
        <is>
          <t>Valve Repair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6" t="n">
        <v>46226</v>
      </c>
      <c r="H66" s="6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Valve Repair scheduled or reactive task 065</t>
        </is>
      </c>
    </row>
    <row r="67">
      <c r="A67" s="2" t="inlineStr">
        <is>
          <t>WO-2026-0066</t>
        </is>
      </c>
      <c r="B67" s="2" t="inlineStr">
        <is>
          <t>Jurong Depot</t>
        </is>
      </c>
      <c r="C67" s="2" t="inlineStr">
        <is>
          <t>Valve Repair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6" t="n">
        <v>46225</v>
      </c>
      <c r="H67" s="6" t="n">
        <v>46237</v>
      </c>
      <c r="I67" s="6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Valve Repair scheduled or reactive task 066</t>
        </is>
      </c>
    </row>
    <row r="68">
      <c r="A68" s="2" t="inlineStr">
        <is>
          <t>WO-2026-0067</t>
        </is>
      </c>
      <c r="B68" s="2" t="inlineStr">
        <is>
          <t>Tampines Centre</t>
        </is>
      </c>
      <c r="C68" s="2" t="inlineStr">
        <is>
          <t>Valve Repair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6" t="n">
        <v>46224</v>
      </c>
      <c r="H68" s="6" t="n">
        <v>46237</v>
      </c>
      <c r="I68" s="6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Valve Repair scheduled or reactive task 067</t>
        </is>
      </c>
    </row>
    <row r="69">
      <c r="A69" s="2" t="inlineStr">
        <is>
          <t>WO-2026-0068</t>
        </is>
      </c>
      <c r="B69" s="2" t="inlineStr">
        <is>
          <t>Tampines Centre</t>
        </is>
      </c>
      <c r="C69" s="2" t="inlineStr">
        <is>
          <t>Valve Repair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6" t="n">
        <v>46223</v>
      </c>
      <c r="H69" s="6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Valve Repair scheduled or reactive task 068</t>
        </is>
      </c>
    </row>
    <row r="70">
      <c r="A70" s="2" t="inlineStr">
        <is>
          <t>WO-2026-0069</t>
        </is>
      </c>
      <c r="B70" s="2" t="inlineStr">
        <is>
          <t>Tampines Centre</t>
        </is>
      </c>
      <c r="C70" s="2" t="inlineStr">
        <is>
          <t>Pipe Replacement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6" t="n">
        <v>46222</v>
      </c>
      <c r="H70" s="6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Pipe Replacement scheduled or reactive task 069</t>
        </is>
      </c>
    </row>
    <row r="71">
      <c r="A71" s="2" t="inlineStr">
        <is>
          <t>WO-2026-0070</t>
        </is>
      </c>
      <c r="B71" s="2" t="inlineStr">
        <is>
          <t>Paya Lebar Office</t>
        </is>
      </c>
      <c r="C71" s="2" t="inlineStr">
        <is>
          <t>Pipe Replacement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6" t="n">
        <v>46221</v>
      </c>
      <c r="H71" s="6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Pipe Replacement scheduled or reactive task 070</t>
        </is>
      </c>
    </row>
    <row r="72">
      <c r="A72" s="2" t="inlineStr">
        <is>
          <t>WO-2026-0071</t>
        </is>
      </c>
      <c r="B72" s="2" t="inlineStr">
        <is>
          <t>Paya Lebar Office</t>
        </is>
      </c>
      <c r="C72" s="2" t="inlineStr">
        <is>
          <t>Pipe Replacement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6" t="n">
        <v>46220</v>
      </c>
      <c r="H72" s="6" t="n">
        <v>46227</v>
      </c>
      <c r="I72" s="6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Pipe Replacement scheduled or reactive task 071</t>
        </is>
      </c>
    </row>
    <row r="73">
      <c r="A73" s="2" t="inlineStr">
        <is>
          <t>WO-2026-0072</t>
        </is>
      </c>
      <c r="B73" s="2" t="inlineStr">
        <is>
          <t>Paya Lebar Office</t>
        </is>
      </c>
      <c r="C73" s="2" t="inlineStr">
        <is>
          <t>Pipe Replacement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6" t="n">
        <v>46219</v>
      </c>
      <c r="H73" s="6" t="n">
        <v>46227</v>
      </c>
      <c r="I73" s="6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Pipe Replacement scheduled or reactive task 072</t>
        </is>
      </c>
    </row>
    <row r="74">
      <c r="A74" s="2" t="inlineStr">
        <is>
          <t>WO-2026-0073</t>
        </is>
      </c>
      <c r="B74" s="2" t="inlineStr">
        <is>
          <t>Changi Workshop</t>
        </is>
      </c>
      <c r="C74" s="2" t="inlineStr">
        <is>
          <t>Pump Service</t>
        </is>
      </c>
      <c r="D74" s="2" t="inlineStr">
        <is>
          <t>Low</t>
        </is>
      </c>
      <c r="E74" s="2" t="inlineStr">
        <is>
          <t>New</t>
        </is>
      </c>
      <c r="F74" s="2" t="n"/>
      <c r="G74" s="6" t="n">
        <v>46218</v>
      </c>
      <c r="H74" s="6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Pump Service scheduled or reactive task 073</t>
        </is>
      </c>
    </row>
    <row r="75">
      <c r="A75" s="2" t="inlineStr">
        <is>
          <t>WO-2026-0074</t>
        </is>
      </c>
      <c r="B75" s="2" t="inlineStr">
        <is>
          <t>Changi Workshop</t>
        </is>
      </c>
      <c r="C75" s="2" t="inlineStr">
        <is>
          <t>Pump Service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6" t="n">
        <v>46217</v>
      </c>
      <c r="H75" s="6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Pump Service scheduled or reactive task 074</t>
        </is>
      </c>
    </row>
    <row r="76">
      <c r="A76" s="2" t="inlineStr">
        <is>
          <t>WO-2026-0075</t>
        </is>
      </c>
      <c r="B76" s="2" t="inlineStr">
        <is>
          <t>Changi Workshop</t>
        </is>
      </c>
      <c r="C76" s="2" t="inlineStr">
        <is>
          <t>Pump Service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6" t="n">
        <v>46216</v>
      </c>
      <c r="H76" s="6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Pump Service scheduled or reactive task 075</t>
        </is>
      </c>
    </row>
    <row r="77">
      <c r="A77" s="2" t="inlineStr">
        <is>
          <t>WO-2026-0076</t>
        </is>
      </c>
      <c r="B77" s="2" t="inlineStr">
        <is>
          <t>Woodlands Hub</t>
        </is>
      </c>
      <c r="C77" s="2" t="inlineStr">
        <is>
          <t>Pump Service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6" t="n">
        <v>46215</v>
      </c>
      <c r="H77" s="6" t="n">
        <v>46227</v>
      </c>
      <c r="I77" s="6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Pump Service scheduled or reactive task 076</t>
        </is>
      </c>
    </row>
    <row r="78">
      <c r="A78" s="2" t="inlineStr">
        <is>
          <t>WO-2026-0077</t>
        </is>
      </c>
      <c r="B78" s="2" t="inlineStr">
        <is>
          <t>Woodlands Hub</t>
        </is>
      </c>
      <c r="C78" s="2" t="inlineStr">
        <is>
          <t>Meter Service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6" t="n">
        <v>46214</v>
      </c>
      <c r="H78" s="6" t="n">
        <v>46227</v>
      </c>
      <c r="I78" s="6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Meter Service scheduled or reactive task 077</t>
        </is>
      </c>
    </row>
    <row r="79">
      <c r="A79" s="2" t="inlineStr">
        <is>
          <t>WO-2026-0078</t>
        </is>
      </c>
      <c r="B79" s="2" t="inlineStr">
        <is>
          <t>Woodlands Hub</t>
        </is>
      </c>
      <c r="C79" s="2" t="inlineStr">
        <is>
          <t>Meter Service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6" t="n">
        <v>46213</v>
      </c>
      <c r="H79" s="6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Meter Service scheduled or reactive task 078</t>
        </is>
      </c>
    </row>
    <row r="80">
      <c r="A80" s="2" t="inlineStr">
        <is>
          <t>WO-2026-0079</t>
        </is>
      </c>
      <c r="B80" s="2" t="inlineStr">
        <is>
          <t>Jurong Depot</t>
        </is>
      </c>
      <c r="C80" s="2" t="inlineStr">
        <is>
          <t>Meter Service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6" t="n">
        <v>46212</v>
      </c>
      <c r="H80" s="6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Meter Service scheduled or reactive task 079</t>
        </is>
      </c>
    </row>
    <row r="81">
      <c r="A81" s="2" t="inlineStr">
        <is>
          <t>WO-2026-0080</t>
        </is>
      </c>
      <c r="B81" s="2" t="inlineStr">
        <is>
          <t>Jurong Depot</t>
        </is>
      </c>
      <c r="C81" s="2" t="inlineStr">
        <is>
          <t>Meter Service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6" t="n">
        <v>46211</v>
      </c>
      <c r="H81" s="6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Meter Service scheduled or reactive task 080</t>
        </is>
      </c>
    </row>
    <row r="82">
      <c r="A82" s="2" t="inlineStr">
        <is>
          <t>WO-2026-0081</t>
        </is>
      </c>
      <c r="B82" s="2" t="inlineStr">
        <is>
          <t>Jurong Depot</t>
        </is>
      </c>
      <c r="C82" s="2" t="inlineStr">
        <is>
          <t>Leak Repair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6" t="n">
        <v>46290</v>
      </c>
      <c r="H82" s="6" t="n">
        <v>46297</v>
      </c>
      <c r="I82" s="6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Leak Repair scheduled or reactive task 081</t>
        </is>
      </c>
    </row>
    <row r="83">
      <c r="A83" s="2" t="inlineStr">
        <is>
          <t>WO-2026-0082</t>
        </is>
      </c>
      <c r="B83" s="2" t="inlineStr">
        <is>
          <t>Tampines Centre</t>
        </is>
      </c>
      <c r="C83" s="2" t="inlineStr">
        <is>
          <t>Leak Repair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6" t="n">
        <v>46289</v>
      </c>
      <c r="H83" s="6" t="n">
        <v>46297</v>
      </c>
      <c r="I83" s="6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Leak Repair scheduled or reactive task 082</t>
        </is>
      </c>
    </row>
    <row r="84">
      <c r="A84" s="2" t="inlineStr">
        <is>
          <t>WO-2026-0083</t>
        </is>
      </c>
      <c r="B84" s="2" t="inlineStr">
        <is>
          <t>Tampines Centre</t>
        </is>
      </c>
      <c r="C84" s="2" t="inlineStr">
        <is>
          <t>Leak Repair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6" t="n">
        <v>46288</v>
      </c>
      <c r="H84" s="6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Leak Repair scheduled or reactive task 083</t>
        </is>
      </c>
    </row>
    <row r="85">
      <c r="A85" s="2" t="inlineStr">
        <is>
          <t>WO-2026-0084</t>
        </is>
      </c>
      <c r="B85" s="2" t="inlineStr">
        <is>
          <t>Tampines Centre</t>
        </is>
      </c>
      <c r="C85" s="2" t="inlineStr">
        <is>
          <t>Leak Repair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6" t="n">
        <v>46287</v>
      </c>
      <c r="H85" s="6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Leak Repair scheduled or reactive task 084</t>
        </is>
      </c>
    </row>
    <row r="86">
      <c r="A86" s="2" t="inlineStr">
        <is>
          <t>WO-2026-0085</t>
        </is>
      </c>
      <c r="B86" s="2" t="inlineStr">
        <is>
          <t>Paya Lebar Office</t>
        </is>
      </c>
      <c r="C86" s="2" t="inlineStr">
        <is>
          <t>Valve Repair</t>
        </is>
      </c>
      <c r="D86" s="2" t="inlineStr">
        <is>
          <t>Low</t>
        </is>
      </c>
      <c r="E86" s="2" t="inlineStr">
        <is>
          <t>New</t>
        </is>
      </c>
      <c r="F86" s="2" t="n"/>
      <c r="G86" s="6" t="n">
        <v>46286</v>
      </c>
      <c r="H86" s="6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Valve Repair scheduled or reactive task 085</t>
        </is>
      </c>
    </row>
    <row r="87">
      <c r="A87" s="2" t="inlineStr">
        <is>
          <t>WO-2026-0086</t>
        </is>
      </c>
      <c r="B87" s="2" t="inlineStr">
        <is>
          <t>Paya Lebar Office</t>
        </is>
      </c>
      <c r="C87" s="2" t="inlineStr">
        <is>
          <t>Valve Repair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6" t="n">
        <v>46285</v>
      </c>
      <c r="H87" s="6" t="n">
        <v>46297</v>
      </c>
      <c r="I87" s="6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Valve Repair scheduled or reactive task 086</t>
        </is>
      </c>
    </row>
    <row r="88">
      <c r="A88" s="2" t="inlineStr">
        <is>
          <t>WO-2026-0087</t>
        </is>
      </c>
      <c r="B88" s="2" t="inlineStr">
        <is>
          <t>Paya Lebar Office</t>
        </is>
      </c>
      <c r="C88" s="2" t="inlineStr">
        <is>
          <t>Valve Repair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6" t="n">
        <v>46284</v>
      </c>
      <c r="H88" s="6" t="n">
        <v>46297</v>
      </c>
      <c r="I88" s="6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Valve Repair scheduled or reactive task 087</t>
        </is>
      </c>
    </row>
    <row r="89">
      <c r="A89" s="2" t="inlineStr">
        <is>
          <t>WO-2026-0088</t>
        </is>
      </c>
      <c r="B89" s="2" t="inlineStr">
        <is>
          <t>Changi Workshop</t>
        </is>
      </c>
      <c r="C89" s="2" t="inlineStr">
        <is>
          <t>Valve Repair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6" t="n">
        <v>46283</v>
      </c>
      <c r="H89" s="6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Valve Repair scheduled or reactive task 088</t>
        </is>
      </c>
    </row>
    <row r="90">
      <c r="A90" s="2" t="inlineStr">
        <is>
          <t>WO-2026-0089</t>
        </is>
      </c>
      <c r="B90" s="2" t="inlineStr">
        <is>
          <t>Changi Workshop</t>
        </is>
      </c>
      <c r="C90" s="2" t="inlineStr">
        <is>
          <t>Pipe Replacement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6" t="n">
        <v>46282</v>
      </c>
      <c r="H90" s="6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Pipe Replacement scheduled or reactive task 089</t>
        </is>
      </c>
    </row>
    <row r="91">
      <c r="A91" s="2" t="inlineStr">
        <is>
          <t>WO-2026-0090</t>
        </is>
      </c>
      <c r="B91" s="2" t="inlineStr">
        <is>
          <t>Changi Workshop</t>
        </is>
      </c>
      <c r="C91" s="2" t="inlineStr">
        <is>
          <t>Pipe Replacement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6" t="n">
        <v>46281</v>
      </c>
      <c r="H91" s="6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Pipe Replacement scheduled or reactive task 090</t>
        </is>
      </c>
    </row>
    <row r="92">
      <c r="A92" s="2" t="inlineStr">
        <is>
          <t>WO-2026-0091</t>
        </is>
      </c>
      <c r="B92" s="2" t="inlineStr">
        <is>
          <t>Woodlands Hub</t>
        </is>
      </c>
      <c r="C92" s="2" t="inlineStr">
        <is>
          <t>Pipe Replacement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6" t="n">
        <v>46280</v>
      </c>
      <c r="H92" s="6" t="n">
        <v>46287</v>
      </c>
      <c r="I92" s="6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Pipe Replacement scheduled or reactive task 091</t>
        </is>
      </c>
    </row>
    <row r="93">
      <c r="A93" s="2" t="inlineStr">
        <is>
          <t>WO-2026-0092</t>
        </is>
      </c>
      <c r="B93" s="2" t="inlineStr">
        <is>
          <t>Woodlands Hub</t>
        </is>
      </c>
      <c r="C93" s="2" t="inlineStr">
        <is>
          <t>Pipe Replacement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6" t="n">
        <v>46279</v>
      </c>
      <c r="H93" s="6" t="n">
        <v>46287</v>
      </c>
      <c r="I93" s="6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Pipe Replacement scheduled or reactive task 092</t>
        </is>
      </c>
    </row>
    <row r="94">
      <c r="A94" s="2" t="inlineStr">
        <is>
          <t>WO-2026-0093</t>
        </is>
      </c>
      <c r="B94" s="2" t="inlineStr">
        <is>
          <t>Woodlands Hub</t>
        </is>
      </c>
      <c r="C94" s="2" t="inlineStr">
        <is>
          <t>Pump Service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6" t="n">
        <v>46278</v>
      </c>
      <c r="H94" s="6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Pump Service scheduled or reactive task 093</t>
        </is>
      </c>
    </row>
    <row r="95">
      <c r="A95" s="2" t="inlineStr">
        <is>
          <t>WO-2026-0094</t>
        </is>
      </c>
      <c r="B95" s="2" t="inlineStr">
        <is>
          <t>Jurong Depot</t>
        </is>
      </c>
      <c r="C95" s="2" t="inlineStr">
        <is>
          <t>Pump Service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6" t="n">
        <v>46277</v>
      </c>
      <c r="H95" s="6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Pump Service scheduled or reactive task 094</t>
        </is>
      </c>
    </row>
    <row r="96">
      <c r="A96" s="2" t="inlineStr">
        <is>
          <t>WO-2026-0095</t>
        </is>
      </c>
      <c r="B96" s="2" t="inlineStr">
        <is>
          <t>Jurong Depot</t>
        </is>
      </c>
      <c r="C96" s="2" t="inlineStr">
        <is>
          <t>Pump Service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6" t="n">
        <v>46276</v>
      </c>
      <c r="H96" s="6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Pump Service scheduled or reactive task 095</t>
        </is>
      </c>
    </row>
    <row r="97">
      <c r="A97" s="2" t="inlineStr">
        <is>
          <t>WO-2026-0096</t>
        </is>
      </c>
      <c r="B97" s="2" t="inlineStr">
        <is>
          <t>Jurong Depot</t>
        </is>
      </c>
      <c r="C97" s="2" t="inlineStr">
        <is>
          <t>Pump Service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6" t="n">
        <v>46275</v>
      </c>
      <c r="H97" s="6" t="n">
        <v>46287</v>
      </c>
      <c r="I97" s="6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Pump Service scheduled or reactive task 096</t>
        </is>
      </c>
    </row>
    <row r="98">
      <c r="A98" s="2" t="inlineStr">
        <is>
          <t>WO-2026-0097</t>
        </is>
      </c>
      <c r="B98" s="2" t="inlineStr">
        <is>
          <t>Tampines Centre</t>
        </is>
      </c>
      <c r="C98" s="2" t="inlineStr">
        <is>
          <t>Meter Service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6" t="n">
        <v>46274</v>
      </c>
      <c r="H98" s="6" t="n">
        <v>46287</v>
      </c>
      <c r="I98" s="6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Meter Service scheduled or reactive task 097</t>
        </is>
      </c>
    </row>
    <row r="99">
      <c r="A99" s="2" t="inlineStr">
        <is>
          <t>WO-2026-0098</t>
        </is>
      </c>
      <c r="B99" s="2" t="inlineStr">
        <is>
          <t>Tampines Centre</t>
        </is>
      </c>
      <c r="C99" s="2" t="inlineStr">
        <is>
          <t>Meter Service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6" t="n">
        <v>46273</v>
      </c>
      <c r="H99" s="6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Meter Service scheduled or reactive task 098</t>
        </is>
      </c>
    </row>
    <row r="100">
      <c r="A100" s="2" t="inlineStr">
        <is>
          <t>WO-2026-0099</t>
        </is>
      </c>
      <c r="B100" s="2" t="inlineStr">
        <is>
          <t>Tampines Centre</t>
        </is>
      </c>
      <c r="C100" s="2" t="inlineStr">
        <is>
          <t>Meter Service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6" t="n">
        <v>46272</v>
      </c>
      <c r="H100" s="6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Meter Service scheduled or reactive task 099</t>
        </is>
      </c>
    </row>
    <row r="101">
      <c r="A101" s="2" t="inlineStr">
        <is>
          <t>WO-2026-0100</t>
        </is>
      </c>
      <c r="B101" s="2" t="inlineStr">
        <is>
          <t>Paya Lebar Office</t>
        </is>
      </c>
      <c r="C101" s="2" t="inlineStr">
        <is>
          <t>Meter Service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6" t="n">
        <v>46271</v>
      </c>
      <c r="H101" s="6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Meter Service scheduled or reactive task 100</t>
        </is>
      </c>
    </row>
    <row r="102">
      <c r="A102" s="2" t="inlineStr">
        <is>
          <t>WO-2026-0101</t>
        </is>
      </c>
      <c r="B102" s="2" t="inlineStr">
        <is>
          <t>Paya Lebar Office</t>
        </is>
      </c>
      <c r="C102" s="2" t="inlineStr">
        <is>
          <t>Leak Repair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6" t="n">
        <v>46270</v>
      </c>
      <c r="H102" s="6" t="n">
        <v>46277</v>
      </c>
      <c r="I102" s="6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Leak Repair scheduled or reactive task 101</t>
        </is>
      </c>
    </row>
    <row r="103">
      <c r="A103" s="2" t="inlineStr">
        <is>
          <t>WO-2026-0102</t>
        </is>
      </c>
      <c r="B103" s="2" t="inlineStr">
        <is>
          <t>Paya Lebar Office</t>
        </is>
      </c>
      <c r="C103" s="2" t="inlineStr">
        <is>
          <t>Leak Repair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6" t="n">
        <v>46269</v>
      </c>
      <c r="H103" s="6" t="n">
        <v>46277</v>
      </c>
      <c r="I103" s="6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Leak Repair scheduled or reactive task 102</t>
        </is>
      </c>
    </row>
    <row r="104">
      <c r="A104" s="2" t="inlineStr">
        <is>
          <t>WO-2026-0103</t>
        </is>
      </c>
      <c r="B104" s="2" t="inlineStr">
        <is>
          <t>Changi Workshop</t>
        </is>
      </c>
      <c r="C104" s="2" t="inlineStr">
        <is>
          <t>Leak Repair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6" t="n">
        <v>46268</v>
      </c>
      <c r="H104" s="6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Leak Repair scheduled or reactive task 103</t>
        </is>
      </c>
    </row>
    <row r="105">
      <c r="A105" s="2" t="inlineStr">
        <is>
          <t>WO-2026-0104</t>
        </is>
      </c>
      <c r="B105" s="2" t="inlineStr">
        <is>
          <t>Changi Workshop</t>
        </is>
      </c>
      <c r="C105" s="2" t="inlineStr">
        <is>
          <t>Leak Repair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6" t="n">
        <v>46267</v>
      </c>
      <c r="H105" s="6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Leak Repair scheduled or reactive task 104</t>
        </is>
      </c>
    </row>
    <row r="106">
      <c r="A106" s="2" t="inlineStr">
        <is>
          <t>WO-2026-0105</t>
        </is>
      </c>
      <c r="B106" s="2" t="inlineStr">
        <is>
          <t>Changi Workshop</t>
        </is>
      </c>
      <c r="C106" s="2" t="inlineStr">
        <is>
          <t>Valve Repair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6" t="n">
        <v>46266</v>
      </c>
      <c r="H106" s="6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Valve Repair scheduled or reactive task 105</t>
        </is>
      </c>
    </row>
    <row r="107">
      <c r="A107" s="2" t="inlineStr">
        <is>
          <t>WO-2026-0106</t>
        </is>
      </c>
      <c r="B107" s="2" t="inlineStr">
        <is>
          <t>Woodlands Hub</t>
        </is>
      </c>
      <c r="C107" s="2" t="inlineStr">
        <is>
          <t>Valve Repair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6" t="n">
        <v>46265</v>
      </c>
      <c r="H107" s="6" t="n">
        <v>46277</v>
      </c>
      <c r="I107" s="6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Valve Repair scheduled or reactive task 106</t>
        </is>
      </c>
    </row>
    <row r="108">
      <c r="A108" s="2" t="inlineStr">
        <is>
          <t>WO-2026-0107</t>
        </is>
      </c>
      <c r="B108" s="2" t="inlineStr">
        <is>
          <t>Woodlands Hub</t>
        </is>
      </c>
      <c r="C108" s="2" t="inlineStr">
        <is>
          <t>Valve Repair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6" t="n">
        <v>46264</v>
      </c>
      <c r="H108" s="6" t="n">
        <v>46277</v>
      </c>
      <c r="I108" s="6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Valve Repair scheduled or reactive task 107</t>
        </is>
      </c>
    </row>
    <row r="109">
      <c r="A109" s="2" t="inlineStr">
        <is>
          <t>WO-2026-0108</t>
        </is>
      </c>
      <c r="B109" s="2" t="inlineStr">
        <is>
          <t>Woodlands Hub</t>
        </is>
      </c>
      <c r="C109" s="2" t="inlineStr">
        <is>
          <t>Valve Repair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6" t="n">
        <v>46263</v>
      </c>
      <c r="H109" s="6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Valve Repair scheduled or reactive task 108</t>
        </is>
      </c>
    </row>
    <row r="110">
      <c r="A110" s="2" t="inlineStr">
        <is>
          <t>WO-2026-0109</t>
        </is>
      </c>
      <c r="B110" s="2" t="inlineStr">
        <is>
          <t>Jurong Depot</t>
        </is>
      </c>
      <c r="C110" s="2" t="inlineStr">
        <is>
          <t>Pipe Replacement</t>
        </is>
      </c>
      <c r="D110" s="2" t="inlineStr">
        <is>
          <t>Low</t>
        </is>
      </c>
      <c r="E110" s="2" t="inlineStr">
        <is>
          <t>New</t>
        </is>
      </c>
      <c r="F110" s="2" t="n"/>
      <c r="G110" s="6" t="n">
        <v>46262</v>
      </c>
      <c r="H110" s="6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Pipe Replacement scheduled or reactive task 109</t>
        </is>
      </c>
    </row>
    <row r="111">
      <c r="A111" s="2" t="inlineStr">
        <is>
          <t>WO-2026-0110</t>
        </is>
      </c>
      <c r="B111" s="2" t="inlineStr">
        <is>
          <t>Jurong Depot</t>
        </is>
      </c>
      <c r="C111" s="2" t="inlineStr">
        <is>
          <t>Pipe Replacement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6" t="n">
        <v>46261</v>
      </c>
      <c r="H111" s="6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Pipe Replacement scheduled or reactive task 110</t>
        </is>
      </c>
    </row>
    <row r="112">
      <c r="A112" s="2" t="inlineStr">
        <is>
          <t>WO-2026-0111</t>
        </is>
      </c>
      <c r="B112" s="2" t="inlineStr">
        <is>
          <t>Jurong Depot</t>
        </is>
      </c>
      <c r="C112" s="2" t="inlineStr">
        <is>
          <t>Pipe Replacement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6" t="n">
        <v>46260</v>
      </c>
      <c r="H112" s="6" t="n">
        <v>46267</v>
      </c>
      <c r="I112" s="6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Pipe Replacement scheduled or reactive task 111</t>
        </is>
      </c>
    </row>
    <row r="113">
      <c r="A113" s="2" t="inlineStr">
        <is>
          <t>WO-2026-0112</t>
        </is>
      </c>
      <c r="B113" s="2" t="inlineStr">
        <is>
          <t>Tampines Centre</t>
        </is>
      </c>
      <c r="C113" s="2" t="inlineStr">
        <is>
          <t>Pipe Replacement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6" t="n">
        <v>46259</v>
      </c>
      <c r="H113" s="6" t="n">
        <v>46267</v>
      </c>
      <c r="I113" s="6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Pipe Replacement scheduled or reactive task 112</t>
        </is>
      </c>
    </row>
    <row r="114">
      <c r="A114" s="2" t="inlineStr">
        <is>
          <t>WO-2026-0113</t>
        </is>
      </c>
      <c r="B114" s="2" t="inlineStr">
        <is>
          <t>Tampines Centre</t>
        </is>
      </c>
      <c r="C114" s="2" t="inlineStr">
        <is>
          <t>Pump Service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6" t="n">
        <v>46258</v>
      </c>
      <c r="H114" s="6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Pump Service scheduled or reactive task 113</t>
        </is>
      </c>
    </row>
    <row r="115">
      <c r="A115" s="2" t="inlineStr">
        <is>
          <t>WO-2026-0114</t>
        </is>
      </c>
      <c r="B115" s="2" t="inlineStr">
        <is>
          <t>Tampines Centre</t>
        </is>
      </c>
      <c r="C115" s="2" t="inlineStr">
        <is>
          <t>Pump Service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6" t="n">
        <v>46257</v>
      </c>
      <c r="H115" s="6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Pump Service scheduled or reactive task 114</t>
        </is>
      </c>
    </row>
    <row r="116">
      <c r="A116" s="2" t="inlineStr">
        <is>
          <t>WO-2026-0115</t>
        </is>
      </c>
      <c r="B116" s="2" t="inlineStr">
        <is>
          <t>Paya Lebar Office</t>
        </is>
      </c>
      <c r="C116" s="2" t="inlineStr">
        <is>
          <t>Pump Service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6" t="n">
        <v>46256</v>
      </c>
      <c r="H116" s="6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Pump Service scheduled or reactive task 115</t>
        </is>
      </c>
    </row>
    <row r="117">
      <c r="A117" s="2" t="inlineStr">
        <is>
          <t>WO-2026-0116</t>
        </is>
      </c>
      <c r="B117" s="2" t="inlineStr">
        <is>
          <t>Paya Lebar Office</t>
        </is>
      </c>
      <c r="C117" s="2" t="inlineStr">
        <is>
          <t>Pump Service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6" t="n">
        <v>46255</v>
      </c>
      <c r="H117" s="6" t="n">
        <v>46267</v>
      </c>
      <c r="I117" s="6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Pump Service scheduled or reactive task 116</t>
        </is>
      </c>
    </row>
    <row r="118">
      <c r="A118" s="2" t="inlineStr">
        <is>
          <t>WO-2026-0117</t>
        </is>
      </c>
      <c r="B118" s="2" t="inlineStr">
        <is>
          <t>Paya Lebar Office</t>
        </is>
      </c>
      <c r="C118" s="2" t="inlineStr">
        <is>
          <t>Meter Service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6" t="n">
        <v>46254</v>
      </c>
      <c r="H118" s="6" t="n">
        <v>46267</v>
      </c>
      <c r="I118" s="6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Meter Service scheduled or reactive task 117</t>
        </is>
      </c>
    </row>
    <row r="119">
      <c r="A119" s="2" t="inlineStr">
        <is>
          <t>WO-2026-0118</t>
        </is>
      </c>
      <c r="B119" s="2" t="inlineStr">
        <is>
          <t>Changi Workshop</t>
        </is>
      </c>
      <c r="C119" s="2" t="inlineStr">
        <is>
          <t>Meter Service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6" t="n">
        <v>46253</v>
      </c>
      <c r="H119" s="6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Meter Service scheduled or reactive task 118</t>
        </is>
      </c>
    </row>
    <row r="120">
      <c r="A120" s="2" t="inlineStr">
        <is>
          <t>WO-2026-0119</t>
        </is>
      </c>
      <c r="B120" s="2" t="inlineStr">
        <is>
          <t>Changi Workshop</t>
        </is>
      </c>
      <c r="C120" s="2" t="inlineStr">
        <is>
          <t>Meter Service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6" t="n">
        <v>46252</v>
      </c>
      <c r="H120" s="6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Meter Service scheduled or reactive task 119</t>
        </is>
      </c>
    </row>
    <row r="121">
      <c r="A121" s="2" t="inlineStr">
        <is>
          <t>WO-2026-0120</t>
        </is>
      </c>
      <c r="B121" s="2" t="inlineStr">
        <is>
          <t>Changi Workshop</t>
        </is>
      </c>
      <c r="C121" s="2" t="inlineStr">
        <is>
          <t>Meter Service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6" t="n">
        <v>46251</v>
      </c>
      <c r="H121" s="6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Meter Service scheduled or reactive task 120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Technician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Home_Site</t>
        </is>
      </c>
    </row>
    <row r="2">
      <c r="A2" s="2" t="inlineStr">
        <is>
          <t>Aisha Tan</t>
        </is>
      </c>
      <c r="B2" s="2" t="inlineStr">
        <is>
          <t>Leak Repair</t>
        </is>
      </c>
      <c r="C2" s="2" t="n">
        <v>35</v>
      </c>
      <c r="D2" s="2" t="inlineStr">
        <is>
          <t>Woodlands Hub</t>
        </is>
      </c>
    </row>
    <row r="3">
      <c r="A3" s="2" t="inlineStr">
        <is>
          <t>Ben Lim</t>
        </is>
      </c>
      <c r="B3" s="2" t="inlineStr">
        <is>
          <t>Leak Repair</t>
        </is>
      </c>
      <c r="C3" s="2" t="n">
        <v>30</v>
      </c>
      <c r="D3" s="2" t="inlineStr">
        <is>
          <t>Jurong Depot</t>
        </is>
      </c>
    </row>
    <row r="4">
      <c r="A4" s="2" t="inlineStr">
        <is>
          <t>Chloe Goh</t>
        </is>
      </c>
      <c r="B4" s="2" t="inlineStr">
        <is>
          <t>Leak Repair</t>
        </is>
      </c>
      <c r="C4" s="2" t="n">
        <v>35</v>
      </c>
      <c r="D4" s="2" t="inlineStr">
        <is>
          <t>Tampines Centre</t>
        </is>
      </c>
    </row>
    <row r="5">
      <c r="A5" s="2" t="inlineStr">
        <is>
          <t>Daniel Lee</t>
        </is>
      </c>
      <c r="B5" s="2" t="inlineStr">
        <is>
          <t>Leak Repair</t>
        </is>
      </c>
      <c r="C5" s="2" t="n">
        <v>30</v>
      </c>
      <c r="D5" s="2" t="inlineStr">
        <is>
          <t>Paya Lebar Office</t>
        </is>
      </c>
    </row>
    <row r="6">
      <c r="A6" s="2" t="inlineStr">
        <is>
          <t>Elena Ong</t>
        </is>
      </c>
      <c r="B6" s="2" t="inlineStr">
        <is>
          <t>Valve Repair</t>
        </is>
      </c>
      <c r="C6" s="2" t="n">
        <v>35</v>
      </c>
      <c r="D6" s="2" t="inlineStr">
        <is>
          <t>Changi Workshop</t>
        </is>
      </c>
    </row>
    <row r="7">
      <c r="A7" s="2" t="inlineStr">
        <is>
          <t>Farid Rahman</t>
        </is>
      </c>
      <c r="B7" s="2" t="inlineStr">
        <is>
          <t>Valve Repair</t>
        </is>
      </c>
      <c r="C7" s="2" t="n">
        <v>30</v>
      </c>
      <c r="D7" s="2" t="inlineStr">
        <is>
          <t>Woodlands Hub</t>
        </is>
      </c>
    </row>
    <row r="8">
      <c r="A8" s="2" t="inlineStr">
        <is>
          <t>Grace Ng</t>
        </is>
      </c>
      <c r="B8" s="2" t="inlineStr">
        <is>
          <t>Valve Repair</t>
        </is>
      </c>
      <c r="C8" s="2" t="n">
        <v>35</v>
      </c>
      <c r="D8" s="2" t="inlineStr">
        <is>
          <t>Jurong Depot</t>
        </is>
      </c>
    </row>
    <row r="9">
      <c r="A9" s="2" t="inlineStr">
        <is>
          <t>Hari Kumar</t>
        </is>
      </c>
      <c r="B9" s="2" t="inlineStr">
        <is>
          <t>Valve Repair</t>
        </is>
      </c>
      <c r="C9" s="2" t="n">
        <v>30</v>
      </c>
      <c r="D9" s="2" t="inlineStr">
        <is>
          <t>Tampines Centre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6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MICROSOFT 365 COPILOT WEB</t>
        </is>
      </c>
      <c r="C2" s="2" t="inlineStr">
        <is>
          <t>MICROSOFT 365 COPILOT WEB:
Write complete water-service-dashboard SKILL.md with YAML name/description. Require actual tblWorkOrders and report date in Control!B2; read visible .Rules. Preserve source IDs/statuses/owners, Technicians, Control, .Rules, Prompt_Log, Pareto_* and unrelated sheets. Plan first and ask before replacing only named dashboard outputs; rerun without duplicated charts. Dashboard B2:B5 select Site, Job_Category, Status, Assigned_To with All bypasses and AND logic. B7 total, B8 backlog excluding Closed/Cancelled, B9 backlog Due_Date before Control!B2, B10 Closed, B11 on-time Closed_Date&lt;=Due_Date among Closed only with N/A if none, B12 recorded Cost_SGD across selected statuses. Follow visible .Rules DASHBOARD LAYOUT and STYLE: title A1; six KPI tiles in D4:I7 with Checks: PASS; three formula-backed charts (status column, category bar, full-width stacked site bar) with finding-led titles linked to Dashboard_Summaries; slicers for Site, Job_Category, Status and Assigned_To that filter every tile and chart through SUBTOTAL visibility. Use structured references, not fixed 120-row ranges, and never merge cells. Baseline check at 2026-09-30 All:120 total,48 Closed,12 Cancelled,60 backlog,50 overdue,30/48 on-time,35827.50 cost. Verify site/no-Closed/no-row tests, source preservation and a separate two-row append sandbox with 122 total,49 Closed,61 backlog,51 overdue,31/49 on-time and 36227.50 cost. These are snapshot tests, not universal future figures. Ask for missing inputs; never approve assignments, infer causes/savings or send email. Return the entire file.</t>
        </is>
      </c>
    </row>
    <row r="3">
      <c r="A3" s="2" t="inlineStr">
        <is>
          <t>Step 3</t>
        </is>
      </c>
      <c r="B3" s="2" t="inlineStr">
        <is>
          <t>EXCEL - CHAT ONLY</t>
        </is>
      </c>
      <c r="C3" s="2" t="inlineStr">
        <is>
          <t>EXCEL - CHAT ONLY:
@water-service-dashboard Inspect this Northstar Water Services dashboard starter. Confirm tblWorkOrders, 120 unique IDs, reporting date 2026-09-30 and selection cells B2:B5 initially All. Explain which source and control sheets must remain intact. Report discrepancies before any edits.</t>
        </is>
      </c>
    </row>
    <row r="4">
      <c r="A4" s="2" t="inlineStr">
        <is>
          <t>Step 4</t>
        </is>
      </c>
      <c r="B4" s="2" t="inlineStr">
        <is>
          <t>EXCEL - PLAN</t>
        </is>
      </c>
      <c r="C4" s="2" t="inlineStr">
        <is>
          <t>EXCEL - PLAN:
@water-service-dashboard Plan Dashboard for Northstar maintenance at 2026-09-30. Use selection cells B2:B5 for Site, Job_Category, Status, Assigned_To, all initially All. Reserve B7 total orders, B8 backlog, B9 overdue backlog, B10 closed, B11 on-time closure rate, B12 Cost_SGD. Place three charts for status, category and site with labels, units and scope. Preserve source data.</t>
        </is>
      </c>
    </row>
    <row r="5">
      <c r="A5" s="2" t="inlineStr">
        <is>
          <t>Step 5</t>
        </is>
      </c>
      <c r="B5" s="2" t="inlineStr">
        <is>
          <t>EXCEL - ALLOW EDITING</t>
        </is>
      </c>
      <c r="C5" s="2" t="inlineStr">
        <is>
          <t>EXCEL - ALLOW EDITING:
@water-service-dashboard Build the planned six KPI formulas from tblWorkOrders. Backlog excludes Closed/Cancelled. Overdue also requires Due_Date &lt; Control!B2. On-time rate counts Closed_Date &lt;= Due_Date among Closed rows only, and shows N/A when none. Recorded cost sums Cost_SGD of all included statuses. Link to table columns, never a fixed 120-row range. Keep source data unchanged.</t>
        </is>
      </c>
    </row>
    <row r="6">
      <c r="A6" s="2" t="inlineStr">
        <is>
          <t>Step 6</t>
        </is>
      </c>
      <c r="B6" s="2" t="inlineStr">
        <is>
          <t>EXCEL - ALLOW EDITING</t>
        </is>
      </c>
      <c r="C6" s="2" t="inlineStr">
        <is>
          <t>EXCEL - ALLOW EDITING:
@water-service-dashboard Create three editable bar or column charts using formula-backed summaries: work-order count by Status, by Job_Category and by Site. Each summary must reconcile to the total selected orders. Use white background, navy titles, blue/teal accents, readable labels and a visible reporting date. Do not use category counts as evidence of causes or use colour alone for status.</t>
        </is>
      </c>
    </row>
    <row r="7">
      <c r="A7" s="2" t="inlineStr">
        <is>
          <t>Step 7</t>
        </is>
      </c>
      <c r="B7" s="2" t="inlineStr">
        <is>
          <t>EXCEL - CHAT ONLY</t>
        </is>
      </c>
      <c r="C7" s="2" t="inlineStr">
        <is>
          <t>EXCEL - CHAT ONLY:
@water-service-dashboard Reconcile the Northstar Water Services dashboard with Control at All selections. Compare all six KPIs and totals of the Status, Job_Category and Site charts. Flag hard-coded values, fixed row ranges, inconsistent scopes and any interpretation that treats job-category frequency as a cause. Do not edit.</t>
        </is>
      </c>
    </row>
    <row r="8">
      <c r="A8" s="2" t="inlineStr">
        <is>
          <t>Step 8</t>
        </is>
      </c>
      <c r="B8" s="2" t="inlineStr">
        <is>
          <t>EXCEL - CHAT ONLY</t>
        </is>
      </c>
      <c r="C8" s="2" t="inlineStr">
        <is>
          <t>EXCEL - CHAT ONLY:
@water-service-dashboard Explain each Dashboard measure in plain English, including terminal statuses, strict overdue date rule, closed-only SLA denominator and meaning of recorded cost. Give one source-row example for overdue and one for on-time closure; cite Work_Order_ID. Do not guess a root cause or financial saving.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ROWS(tblWorkOrders[Work_Order_ID])</f>
        <v/>
      </c>
      <c r="C2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17" customWidth="1" min="7" max="7"/>
    <col width="17" customWidth="1" min="8" max="8"/>
    <col width="17" customWidth="1" min="9" max="9"/>
  </cols>
  <sheetData>
    <row r="1">
      <c r="A1" s="1" t="inlineStr">
        <is>
          <t>Lab</t>
        </is>
      </c>
      <c r="B1" s="1" t="inlineStr">
        <is>
          <t>Step</t>
        </is>
      </c>
      <c r="C1" s="1" t="inlineStr">
        <is>
          <t>Claim_or_Test</t>
        </is>
      </c>
      <c r="D1" s="1" t="inlineStr">
        <is>
          <t>Expected</t>
        </is>
      </c>
      <c r="E1" s="1" t="inlineStr">
        <is>
          <t>Observed</t>
        </is>
      </c>
      <c r="F1" s="1" t="inlineStr">
        <is>
          <t>Source_and_Scope</t>
        </is>
      </c>
      <c r="G1" s="1" t="inlineStr">
        <is>
          <t>As_At</t>
        </is>
      </c>
      <c r="H1" s="1" t="inlineStr">
        <is>
          <t>Verified_By</t>
        </is>
      </c>
      <c r="I1" s="1" t="inlineStr">
        <is>
          <t>Notes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Work_Orders, tblWorkOrders, Technicians, current Assigned_To values and source IDs.</t>
        </is>
      </c>
    </row>
    <row r="3">
      <c r="A3" s="2" t="inlineStr">
        <is>
          <t>Use the reporting date from Control!B2. State the selected Site, Job_Category,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DASHBOARD LAYOUT</t>
        </is>
      </c>
    </row>
    <row r="10">
      <c r="A10" s="2" t="inlineStr">
        <is>
          <t>Dashboard sheet: title in A1; Site, Job_Category, Status and Assigned_To dropdowns in B2:B5 (All plus source values); the six measures in B7:B12; data-as-at date and selected scope in D2.</t>
        </is>
      </c>
    </row>
    <row r="11">
      <c r="A11" s="2" t="inlineStr">
        <is>
          <t>Six KPI tiles in D4:I7, one column per tile: title in row 4, large value in row 5, short definition in row 6 and "Checks: PASS" in row 7.</t>
        </is>
      </c>
    </row>
    <row r="12">
      <c r="A12" s="2" t="inlineStr">
        <is>
          <t>Charts in a grid below the tiles: work orders by status and by job category side by side, then a full-width stacked bar by site (overdue backlog, other backlog, Closed, Cancelled).</t>
        </is>
      </c>
    </row>
    <row r="13">
      <c r="A13" s="2" t="inlineStr">
        <is>
          <t>Slicers for Site, Job_Category, Status and Assigned_To on the right of the tiles, connected to tblWorkOrders. KPI formulas use SUBTOTAL visibility so slicers and dropdowns both filter every tile and chart.</t>
        </is>
      </c>
    </row>
    <row r="14">
      <c r="A14" s="2" t="inlineStr">
        <is>
          <t>Put chart summaries, chart-title formulas and KPI checks on Dashboard_Summaries. Never merge cells. Hide gridlines on Dashboard.</t>
        </is>
      </c>
    </row>
    <row r="15">
      <c r="A15" s="2" t="inlineStr">
        <is>
          <t>## DASHBOARD STYLE</t>
        </is>
      </c>
    </row>
    <row r="16">
      <c r="A16" s="2" t="inlineStr">
        <is>
          <t>Tiles: white bold text on solid navy #1F4E79 (totals and rates), blue #2E75B6 (backlog, overdue) or teal #2A9D8F (Closed, cost).</t>
        </is>
      </c>
    </row>
    <row r="17">
      <c r="A17" s="2" t="inlineStr">
        <is>
          <t>Every chart title states the finding from a cell formula, e.g. "Changi Workshop has the most overdue backlog (18 of 50)".</t>
        </is>
      </c>
    </row>
    <row r="18">
      <c r="A18" s="2" t="inlineStr">
        <is>
          <t>Show data labels on bars; no gridlines; rates as % with one decimal. Each chart total must equal B7.</t>
        </is>
      </c>
    </row>
    <row r="19">
      <c r="A19" s="2" t="inlineStr">
        <is>
          <t>## OUTPUT AND REVIEW</t>
        </is>
      </c>
    </row>
    <row r="20">
      <c r="A20" s="2" t="inlineStr">
        <is>
          <t>Use structured table references. Preserve the visible .Rules sheet and unrelated sheets, charts and Prompt_Log.</t>
        </is>
      </c>
    </row>
    <row r="21">
      <c r="A21" s="2" t="inlineStr">
        <is>
          <t>Keep current owners separate from unapproved assignment proposals. Missing facts and approvals remain UNKNOWN.</t>
        </is>
      </c>
    </row>
    <row r="22">
      <c r="A22" s="2" t="inlineStr">
        <is>
          <t>Ask before replacing named output sheets. Reconcile every count, rate and chart against source rows; do not duplicate outputs on rerun.</t>
        </is>
      </c>
    </row>
    <row r="23">
      <c r="A23" s="2">
        <f>"Reporting date: "&amp;TEXT(Control!B2,"yyyy-mm-dd")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0" zoomScale="85" workbookViewId="0">
      <selection activeCell="A1" sqref="A1"/>
    </sheetView>
  </sheetViews>
  <sheetFormatPr baseColWidth="8" defaultRowHeight="15"/>
  <cols>
    <col width="19" customWidth="1" min="1" max="1"/>
    <col width="17" customWidth="1" min="2" max="2"/>
    <col width="2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" customWidth="1" min="10" max="10"/>
    <col width="31" customWidth="1" min="11" max="11"/>
  </cols>
  <sheetData>
    <row r="1" ht="34" customHeight="1">
      <c r="A1" s="9">
        <f>"Northstar Maintenance Dashboard — Q3 work orders to "&amp;TEXT(Control!$B$2,"dd-mmm-yyyy")</f>
        <v/>
      </c>
    </row>
    <row r="2" ht="20" customHeight="1">
      <c r="A2" s="10" t="inlineStr">
        <is>
          <t>Site</t>
        </is>
      </c>
      <c r="B2" s="11" t="inlineStr">
        <is>
          <t>All</t>
        </is>
      </c>
      <c r="D2" s="12">
        <f>"Data as at "&amp;TEXT(Control!$B$2,"yyyy-mm-dd")&amp;"   ·   Site: "&amp;$B$2&amp;"  ·  Category: "&amp;$B$3&amp;"  ·  Status: "&amp;$B$4&amp;"  ·  Owner: "&amp;$B$5</f>
        <v/>
      </c>
    </row>
    <row r="3" ht="18" customHeight="1">
      <c r="A3" s="10" t="inlineStr">
        <is>
          <t>Job_Category</t>
        </is>
      </c>
      <c r="B3" s="11" t="inlineStr">
        <is>
          <t>All</t>
        </is>
      </c>
      <c r="D3" s="13">
        <f>IF(SUBTOTAL(103,tblWorkOrders[Work_Order_ID])&lt;ROWS(tblWorkOrders[Work_Order_ID]),"⚠ Slicer filter active: "&amp;SUBTOTAL(103,tblWorkOrders[Work_Order_ID])&amp;" of "&amp;ROWS(tblWorkOrders[Work_Order_ID])&amp;" source rows included. Clear the slicers for the full baseline.","All "&amp;ROWS(tblWorkOrders[Work_Order_ID])&amp;" source rows available (no slicer filter).")</f>
        <v/>
      </c>
    </row>
    <row r="4" ht="26" customHeight="1">
      <c r="A4" s="10" t="inlineStr">
        <is>
          <t>Status</t>
        </is>
      </c>
      <c r="B4" s="11" t="inlineStr">
        <is>
          <t>All</t>
        </is>
      </c>
      <c r="D4" s="14" t="inlineStr">
        <is>
          <t>Total work orders</t>
        </is>
      </c>
      <c r="E4" s="15" t="inlineStr">
        <is>
          <t>Backlog</t>
        </is>
      </c>
      <c r="F4" s="15" t="inlineStr">
        <is>
          <t>Overdue backlog</t>
        </is>
      </c>
      <c r="G4" s="16" t="inlineStr">
        <is>
          <t>Closed</t>
        </is>
      </c>
      <c r="H4" s="14" t="inlineStr">
        <is>
          <t>On-time closure rate</t>
        </is>
      </c>
      <c r="I4" s="16" t="inlineStr">
        <is>
          <t>Recorded cost</t>
        </is>
      </c>
    </row>
    <row r="5" ht="50" customHeight="1">
      <c r="A5" s="10" t="inlineStr">
        <is>
          <t>Assigned_To</t>
        </is>
      </c>
      <c r="B5" s="11" t="inlineStr">
        <is>
          <t>All</t>
        </is>
      </c>
      <c r="D5" s="17">
        <f>B7</f>
        <v/>
      </c>
      <c r="E5" s="18">
        <f>B8</f>
        <v/>
      </c>
      <c r="F5" s="18">
        <f>B9</f>
        <v/>
      </c>
      <c r="G5" s="19">
        <f>B10</f>
        <v/>
      </c>
      <c r="H5" s="20">
        <f>B11</f>
        <v/>
      </c>
      <c r="I5" s="21">
        <f>B12</f>
        <v/>
      </c>
    </row>
    <row r="6" ht="38" customHeight="1">
      <c r="A6" s="22" t="inlineStr">
        <is>
          <t>Measure</t>
        </is>
      </c>
      <c r="B6" s="22" t="inlineStr">
        <is>
          <t>Current selection</t>
        </is>
      </c>
      <c r="D6" s="23">
        <f>"Selected of "&amp;ROWS(tblWorkOrders[Work_Order_ID])&amp;" rows in tblWorkOrders"</f>
        <v/>
      </c>
      <c r="E6" s="24">
        <f>IF(B7=0,"No rows selected",TEXT(B8/B7,"0%")&amp;" of selection; "&amp;Dashboard_Summaries!O7&amp;" unassigned")</f>
        <v/>
      </c>
      <c r="F6" s="24">
        <f>"Backlog due before "&amp;TEXT(Control!$B$2,"dd-mmm-yyyy")</f>
        <v/>
      </c>
      <c r="G6" s="25">
        <f>"Cancelled in selection: "&amp;Dashboard_Summaries!B9</f>
        <v/>
      </c>
      <c r="H6" s="23">
        <f>IF(B10=0,"No closed jobs in selection",Dashboard_Summaries!O8&amp;" of "&amp;B10&amp;" closed by due date")</f>
        <v/>
      </c>
      <c r="I6" s="25">
        <f>"Cost_SGD, all statuses; not a budget"</f>
        <v/>
      </c>
    </row>
    <row r="7" ht="22" customHeight="1">
      <c r="A7" s="26" t="inlineStr">
        <is>
          <t>Total work orders</t>
        </is>
      </c>
      <c r="B7" s="27">
        <f>SUMPRODUCT(((tblWorkOrders[Site]=$B$2)+($B$2="All")&gt;0)*((tblWorkOrders[Job_Category]=$B$3)+($B$3="All")&gt;0)*((tblWorkOrders[Status]=$B$4)+($B$4="All")&gt;0)*((tblWorkOrders[Assigned_To]=$B$5)+($B$5="All")+(($B$5="Unassigned")*(tblWorkOrders[Assigned_To]=""))&gt;0)*SUBTOTAL(103,OFFSET(tblWorkOrders[[#Headers],[Work_Order_ID]],ROW(tblWorkOrders[Work_Order_ID])-ROW(tblWorkOrders[[#Headers],[Work_Order_ID]]),0)))</f>
        <v/>
      </c>
      <c r="D7" s="28">
        <f>"Checks: "&amp;Dashboard_Summaries!O11</f>
        <v/>
      </c>
      <c r="E7" s="29">
        <f>"Checks: "&amp;Dashboard_Summaries!O12</f>
        <v/>
      </c>
      <c r="F7" s="29">
        <f>"Checks: "&amp;Dashboard_Summaries!O13</f>
        <v/>
      </c>
      <c r="G7" s="30">
        <f>"Checks: "&amp;Dashboard_Summaries!O14</f>
        <v/>
      </c>
      <c r="H7" s="28">
        <f>"Checks: "&amp;Dashboard_Summaries!O15</f>
        <v/>
      </c>
      <c r="I7" s="30">
        <f>"Checks: "&amp;Dashboard_Summaries!O16</f>
        <v/>
      </c>
    </row>
    <row r="8" ht="10" customHeight="1">
      <c r="A8" s="26" t="inlineStr">
        <is>
          <t>Backlog</t>
        </is>
      </c>
      <c r="B8" s="27">
        <f>SUMPRODUCT(((tblWorkOrders[Site]=$B$2)+($B$2="All")&gt;0)*((tblWorkOrders[Job_Category]=$B$3)+($B$3="All")&gt;0)*((tblWorkOrders[Status]=$B$4)+($B$4="All")&gt;0)*((tblWorkOrders[Assigned_To]=$B$5)+($B$5="All")+((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)</f>
        <v/>
      </c>
    </row>
    <row r="9">
      <c r="A9" s="26" t="inlineStr">
        <is>
          <t>Overdue backlog</t>
        </is>
      </c>
      <c r="B9" s="27">
        <f>SUMPRODUCT(((tblWorkOrders[Site]=$B$2)+($B$2="All")&gt;0)*((tblWorkOrders[Job_Category]=$B$3)+($B$3="All")&gt;0)*((tblWorkOrders[Status]=$B$4)+($B$4="All")&gt;0)*((tblWorkOrders[Assigned_To]=$B$5)+($B$5="All")+((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Due_Date]&lt;Control!$B$2))</f>
        <v/>
      </c>
    </row>
    <row r="10">
      <c r="A10" s="26" t="inlineStr">
        <is>
          <t>Closed</t>
        </is>
      </c>
      <c r="B10" s="27">
        <f>SUMPRODUCT(((tblWorkOrders[Site]=$B$2)+($B$2="All")&gt;0)*((tblWorkOrders[Job_Category]=$B$3)+($B$3="All")&gt;0)*((tblWorkOrders[Status]=$B$4)+($B$4="All")&gt;0)*((tblWorkOrders[Assigned_To]=$B$5)+($B$5="All")+(($B$5="Unassigned")*(tblWorkOrders[Assigned_To]=""))&gt;0)*SUBTOTAL(103,OFFSET(tblWorkOrders[[#Headers],[Work_Order_ID]],ROW(tblWorkOrders[Work_Order_ID])-ROW(tblWorkOrders[[#Headers],[Work_Order_ID]]),0))*(tblWorkOrders[Status]="Closed"))</f>
        <v/>
      </c>
    </row>
    <row r="11">
      <c r="A11" s="26" t="inlineStr">
        <is>
          <t>On-time closure rate</t>
        </is>
      </c>
      <c r="B11" s="31">
        <f>IF(B10=0,"N/A",Dashboard_Summaries!O8/B10)</f>
        <v/>
      </c>
    </row>
    <row r="12">
      <c r="A12" s="26" t="inlineStr">
        <is>
          <t>Recorded cost (S$)</t>
        </is>
      </c>
      <c r="B12" s="32">
        <f>SUMPRODUCT(((tblWorkOrders[Site]=$B$2)+($B$2="All")&gt;0)*((tblWorkOrders[Job_Category]=$B$3)+($B$3="All")&gt;0)*((tblWorkOrders[Status]=$B$4)+($B$4="All")&gt;0)*((tblWorkOrders[Assigned_To]=$B$5)+($B$5="All")+(($B$5="Unassigned")*(tblWorkOrders[Assigned_To]=""))&gt;0)*SUBTOTAL(103,OFFSET(tblWorkOrders[[#Headers],[Work_Order_ID]],ROW(tblWorkOrders[Work_Order_ID])-ROW(tblWorkOrders[[#Headers],[Work_Order_ID]]),0)),tblWorkOrders[Cost_SGD])</f>
        <v/>
      </c>
    </row>
    <row r="13">
      <c r="A13" s="33" t="inlineStr">
        <is>
          <t>Rows after slicers</t>
        </is>
      </c>
      <c r="B13" s="34">
        <f>SUBTOTAL(103,tblWorkOrders[Work_Order_ID])</f>
        <v/>
      </c>
    </row>
    <row r="15">
      <c r="A15" s="35" t="inlineStr">
        <is>
          <t>How to filter</t>
        </is>
      </c>
    </row>
    <row r="16">
      <c r="A16" s="36" t="inlineStr">
        <is>
          <t>• Dropdowns B2:B5 or the slicers</t>
        </is>
      </c>
    </row>
    <row r="17">
      <c r="A17" s="36" t="inlineStr">
        <is>
          <t xml:space="preserve">  both filter every tile and chart.</t>
        </is>
      </c>
    </row>
    <row r="18">
      <c r="A18" s="36" t="inlineStr">
        <is>
          <t>• Unassigned = blank Assigned_To.</t>
        </is>
      </c>
    </row>
    <row r="19">
      <c r="A19" s="36" t="inlineStr">
        <is>
          <t>• Baseline: all All, slicers cleared.</t>
        </is>
      </c>
    </row>
    <row r="20">
      <c r="A20" s="36" t="inlineStr">
        <is>
          <t>• Summaries + checks:</t>
        </is>
      </c>
    </row>
    <row r="21">
      <c r="A21" s="36" t="inlineStr">
        <is>
          <t xml:space="preserve">  Dashboard_Summaries sheet.</t>
        </is>
      </c>
    </row>
  </sheetData>
  <conditionalFormatting sqref="D3">
    <cfRule type="expression" priority="1" dxfId="0">
      <formula>LEFT($D$3,1)="⚠"</formula>
    </cfRule>
  </conditionalFormatting>
  <dataValidations count="4">
    <dataValidation sqref="B2" showDropDown="0" showInputMessage="0" showErrorMessage="1" allowBlank="0" errorTitle="Choose from the list" error="Pick All or a value from the dropdown." type="list">
      <formula1>'Filter_Lists'!$A$1:$A$6</formula1>
    </dataValidation>
    <dataValidation sqref="B3" showDropDown="0" showInputMessage="0" showErrorMessage="1" allowBlank="0" errorTitle="Choose from the list" error="Pick All or a value from the dropdown." type="list">
      <formula1>'Filter_Lists'!$B$1:$B$6</formula1>
    </dataValidation>
    <dataValidation sqref="B4" showDropDown="0" showInputMessage="0" showErrorMessage="1" allowBlank="0" errorTitle="Choose from the list" error="Pick All or a value from the dropdown." type="list">
      <formula1>'Filter_Lists'!$C$1:$C$7</formula1>
    </dataValidation>
    <dataValidation sqref="B5" showDropDown="0" showInputMessage="0" showErrorMessage="1" allowBlank="0" errorTitle="Choose from the list" error="Pick All or a value from the dropdown." type="list">
      <formula1>'Filter_Lists'!$D$1:$D$10</formula1>
    </dataValidation>
  </dataValidations>
  <pageMargins left="0.75" right="0.75" top="1" bottom="1" header="0.5" footer="0.5"/>
  <drawing xmlns:r="http://schemas.openxmlformats.org/officeDocument/2006/relationships" r:id="rId1"/>
  <extLst>
    <ext xmlns:x15="http://schemas.microsoft.com/office/spreadsheetml/2010/11/main" uri="{3A4CF648-6AED-40f4-86FF-DC5316D8AED3}">
      <x14:slicerList xmlns:x14="http://schemas.microsoft.com/office/spreadsheetml/2009/9/main">
        <x14:slicer xmlns:r="http://schemas.openxmlformats.org/officeDocument/2006/relationships" r:id="rIdSlicer1"/>
      </x14:slicerList>
    </ext>
  </extLst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18" customWidth="1" min="4" max="4"/>
    <col width="12" customWidth="1" min="5" max="5"/>
    <col width="3" customWidth="1" min="6" max="6"/>
    <col width="18" customWidth="1" min="7" max="7"/>
    <col width="15" customWidth="1" min="8" max="8"/>
    <col width="13" customWidth="1" min="9" max="9"/>
    <col width="10" customWidth="1" min="10" max="10"/>
    <col width="11" customWidth="1" min="11" max="11"/>
    <col width="9" customWidth="1" min="12" max="12"/>
    <col width="3" customWidth="1" min="13" max="13"/>
    <col width="30" customWidth="1" min="14" max="14"/>
    <col width="70" customWidth="1" min="15" max="15"/>
  </cols>
  <sheetData>
    <row r="1">
      <c r="A1" s="37" t="inlineStr">
        <is>
          <t>Dashboard chart summaries, titles and checks (formula-backed; same selection as Dashboard)</t>
        </is>
      </c>
    </row>
    <row r="3">
      <c r="A3" s="38" t="inlineStr">
        <is>
          <t>Status</t>
        </is>
      </c>
      <c r="B3" s="38" t="inlineStr">
        <is>
          <t>Work orders</t>
        </is>
      </c>
      <c r="D3" s="38" t="inlineStr">
        <is>
          <t>Job category</t>
        </is>
      </c>
      <c r="E3" s="38" t="inlineStr">
        <is>
          <t>Work orders</t>
        </is>
      </c>
      <c r="G3" s="38" t="inlineStr">
        <is>
          <t>Site</t>
        </is>
      </c>
      <c r="H3" s="38" t="inlineStr">
        <is>
          <t>Overdue backlog</t>
        </is>
      </c>
      <c r="I3" s="38" t="inlineStr">
        <is>
          <t>Other backlog</t>
        </is>
      </c>
      <c r="J3" s="38" t="inlineStr">
        <is>
          <t>Closed</t>
        </is>
      </c>
      <c r="K3" s="38" t="inlineStr">
        <is>
          <t>Cancelled</t>
        </is>
      </c>
      <c r="L3" s="38" t="inlineStr">
        <is>
          <t>Total</t>
        </is>
      </c>
      <c r="N3" s="38" t="inlineStr">
        <is>
          <t>Item</t>
        </is>
      </c>
      <c r="O3" s="38" t="inlineStr">
        <is>
          <t>Value</t>
        </is>
      </c>
    </row>
    <row r="4">
      <c r="A4" t="inlineStr">
        <is>
          <t>New</t>
        </is>
      </c>
      <c r="B4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A4))</f>
        <v/>
      </c>
      <c r="D4" t="inlineStr">
        <is>
          <t>Leak Repair</t>
        </is>
      </c>
      <c r="E4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Job_Category]=D4))</f>
        <v/>
      </c>
      <c r="G4" t="inlineStr">
        <is>
          <t>Woodlands Hub</t>
        </is>
      </c>
      <c r="H4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Due_Date]&lt;Control!$B$2)*(tblWorkOrders[Site]=G4))</f>
        <v/>
      </c>
      <c r="I4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Site]=G4))-H4</f>
        <v/>
      </c>
      <c r="J4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losed")*(tblWorkOrders[Site]=G4))</f>
        <v/>
      </c>
      <c r="K4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ancelled")*(tblWorkOrders[Site]=G4))</f>
        <v/>
      </c>
      <c r="L4">
        <f>SUM(H4:K4)</f>
        <v/>
      </c>
      <c r="N4" t="inlineStr">
        <is>
          <t>Status chart title</t>
        </is>
      </c>
      <c r="O4">
        <f>IF(Dashboard!$B$7=0,"No work orders in the current selection",IF(COUNTIF(B4:B9,MAX(B4:B9))&gt;1,COUNTIF(B4:B9,MAX(B4:B9))&amp;" statuses tie for most work orders ("&amp;MAX(B4:B9)&amp;" each)",INDEX(A4:A9,MATCH(MAX(B4:B9),B4:B9,0))&amp;" is the largest status group ("&amp;MAX(B4:B9)&amp;" of "&amp;Dashboard!$B$7&amp;")"))</f>
        <v/>
      </c>
    </row>
    <row r="5">
      <c r="A5" t="inlineStr">
        <is>
          <t>Assigned</t>
        </is>
      </c>
      <c r="B5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A5))</f>
        <v/>
      </c>
      <c r="D5" t="inlineStr">
        <is>
          <t>Valve Repair</t>
        </is>
      </c>
      <c r="E5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Job_Category]=D5))</f>
        <v/>
      </c>
      <c r="G5" t="inlineStr">
        <is>
          <t>Jurong Depot</t>
        </is>
      </c>
      <c r="H5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Due_Date]&lt;Control!$B$2)*(tblWorkOrders[Site]=G5))</f>
        <v/>
      </c>
      <c r="I5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Site]=G5))-H5</f>
        <v/>
      </c>
      <c r="J5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losed")*(tblWorkOrders[Site]=G5))</f>
        <v/>
      </c>
      <c r="K5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ancelled")*(tblWorkOrders[Site]=G5))</f>
        <v/>
      </c>
      <c r="L5">
        <f>SUM(H5:K5)</f>
        <v/>
      </c>
      <c r="N5" t="inlineStr">
        <is>
          <t>Category chart title</t>
        </is>
      </c>
      <c r="O5">
        <f>IF(Dashboard!$B$7=0,"No work orders in the current selection",IF(MAX(E4:E8)=MIN(E4:E8),"All five job categories are level at "&amp;MAX(E4:E8)&amp;" work orders",IF(COUNTIF(E4:E8,MAX(E4:E8))&gt;1,COUNTIF(E4:E8,MAX(E4:E8))&amp;" categories tie for most work orders ("&amp;MAX(E4:E8)&amp;" each)",INDEX(D4:D8,MATCH(MAX(E4:E8),E4:E8,0))&amp;" has the most work orders ("&amp;MAX(E4:E8)&amp;")")))</f>
        <v/>
      </c>
    </row>
    <row r="6">
      <c r="A6" t="inlineStr">
        <is>
          <t>In Progress</t>
        </is>
      </c>
      <c r="B6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A6))</f>
        <v/>
      </c>
      <c r="D6" t="inlineStr">
        <is>
          <t>Pipe Replacement</t>
        </is>
      </c>
      <c r="E6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Job_Category]=D6))</f>
        <v/>
      </c>
      <c r="G6" t="inlineStr">
        <is>
          <t>Tampines Centre</t>
        </is>
      </c>
      <c r="H6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Due_Date]&lt;Control!$B$2)*(tblWorkOrders[Site]=G6))</f>
        <v/>
      </c>
      <c r="I6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Site]=G6))-H6</f>
        <v/>
      </c>
      <c r="J6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losed")*(tblWorkOrders[Site]=G6))</f>
        <v/>
      </c>
      <c r="K6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ancelled")*(tblWorkOrders[Site]=G6))</f>
        <v/>
      </c>
      <c r="L6">
        <f>SUM(H6:K6)</f>
        <v/>
      </c>
      <c r="N6" t="inlineStr">
        <is>
          <t>Site chart title</t>
        </is>
      </c>
      <c r="O6">
        <f>IF(H9=0,"No overdue backlog in the current selection",IF(COUNTIF(H4:H8,MAX(H4:H8))&gt;1,COUNTIF(H4:H8,MAX(H4:H8))&amp;" sites tie for most overdue backlog ("&amp;MAX(H4:H8)&amp;" each)",INDEX(G4:G8,MATCH(MAX(H4:H8),H4:H8,0))&amp;" has the most overdue backlog ("&amp;MAX(H4:H8)&amp;" of "&amp;H9&amp;")"))</f>
        <v/>
      </c>
    </row>
    <row r="7">
      <c r="A7" t="inlineStr">
        <is>
          <t>On Hold</t>
        </is>
      </c>
      <c r="B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A7))</f>
        <v/>
      </c>
      <c r="D7" t="inlineStr">
        <is>
          <t>Pump Service</t>
        </is>
      </c>
      <c r="E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Job_Category]=D7))</f>
        <v/>
      </c>
      <c r="G7" t="inlineStr">
        <is>
          <t>Paya Lebar Office</t>
        </is>
      </c>
      <c r="H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Due_Date]&lt;Control!$B$2)*(tblWorkOrders[Site]=G7))</f>
        <v/>
      </c>
      <c r="I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Site]=G7))-H7</f>
        <v/>
      </c>
      <c r="J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losed")*(tblWorkOrders[Site]=G7))</f>
        <v/>
      </c>
      <c r="K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ancelled")*(tblWorkOrders[Site]=G7))</f>
        <v/>
      </c>
      <c r="L7">
        <f>SUM(H7:K7)</f>
        <v/>
      </c>
      <c r="N7" t="inlineStr">
        <is>
          <t>Unassigned backlog</t>
        </is>
      </c>
      <c r="O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Assigned_To]=""))</f>
        <v/>
      </c>
    </row>
    <row r="8">
      <c r="A8" t="inlineStr">
        <is>
          <t>Closed</t>
        </is>
      </c>
      <c r="B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A8))</f>
        <v/>
      </c>
      <c r="D8" t="inlineStr">
        <is>
          <t>Meter Service</t>
        </is>
      </c>
      <c r="E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Job_Category]=D8))</f>
        <v/>
      </c>
      <c r="G8" t="inlineStr">
        <is>
          <t>Changi Workshop</t>
        </is>
      </c>
      <c r="H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Due_Date]&lt;Control!$B$2)*(tblWorkOrders[Site]=G8))</f>
        <v/>
      </c>
      <c r="I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Site]=G8))-H8</f>
        <v/>
      </c>
      <c r="J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losed")*(tblWorkOrders[Site]=G8))</f>
        <v/>
      </c>
      <c r="K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ancelled")*(tblWorkOrders[Site]=G8))</f>
        <v/>
      </c>
      <c r="L8">
        <f>SUM(H8:K8)</f>
        <v/>
      </c>
      <c r="N8" t="inlineStr">
        <is>
          <t>Closed on or before due date</t>
        </is>
      </c>
      <c r="O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losed")*(tblWorkOrders[Closed_Date]&lt;=tblWorkOrders[Due_Date]))</f>
        <v/>
      </c>
    </row>
    <row r="9">
      <c r="A9" t="inlineStr">
        <is>
          <t>Cancelled</t>
        </is>
      </c>
      <c r="B9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A9))</f>
        <v/>
      </c>
      <c r="D9" s="39" t="inlineStr">
        <is>
          <t>Total</t>
        </is>
      </c>
      <c r="E9" s="39">
        <f>SUM(E4:E8)</f>
        <v/>
      </c>
      <c r="G9" s="39" t="inlineStr">
        <is>
          <t>Total</t>
        </is>
      </c>
      <c r="H9" s="39">
        <f>SUM(H4:H8)</f>
        <v/>
      </c>
      <c r="I9" s="39">
        <f>SUM(I4:I8)</f>
        <v/>
      </c>
      <c r="J9" s="39">
        <f>SUM(J4:J8)</f>
        <v/>
      </c>
      <c r="K9" s="39">
        <f>SUM(K4:K8)</f>
        <v/>
      </c>
      <c r="L9" s="39">
        <f>SUM(L4:L8)</f>
        <v/>
      </c>
      <c r="N9" t="inlineStr">
        <is>
          <t>Baseline view (All, no slicer)</t>
        </is>
      </c>
      <c r="O9">
        <f>AND(Dashboard!$B$2="All",Dashboard!$B$3="All",Dashboard!$B$4="All",Dashboard!$B$5="All",SUBTOTAL(103,tblWorkOrders[Work_Order_ID])=ROWS(tblWorkOrders[Work_Order_ID]))</f>
        <v/>
      </c>
    </row>
    <row r="10">
      <c r="A10" s="39" t="inlineStr">
        <is>
          <t>Total</t>
        </is>
      </c>
      <c r="B10" s="39">
        <f>SUM(B4:B9)</f>
        <v/>
      </c>
      <c r="N10" t="inlineStr">
        <is>
          <t>Charts reconcile to B7</t>
        </is>
      </c>
      <c r="O10">
        <f>AND(B10=Dashboard!$B$7,E9=Dashboard!$B$7,L9=Dashboard!$B$7)</f>
        <v/>
      </c>
    </row>
    <row r="11">
      <c r="N11" t="inlineStr">
        <is>
          <t>Check: total work orders</t>
        </is>
      </c>
      <c r="O11">
        <f>IF(AND(O10,OR(NOT(O9),Dashboard!$B$7=Control!$B$3)),"PASS","REVIEW")</f>
        <v/>
      </c>
    </row>
    <row r="12">
      <c r="N12" t="inlineStr">
        <is>
          <t>Check: backlog</t>
        </is>
      </c>
      <c r="O12">
        <f>IF(AND(Dashboard!$B$7=Dashboard!$B$8+Dashboard!$B$10+B9,OR(NOT(O9),Dashboard!$B$8=Control!$B$6)),"PASS","REVIEW")</f>
        <v/>
      </c>
    </row>
    <row r="13">
      <c r="N13" t="inlineStr">
        <is>
          <t>Check: overdue backlog</t>
        </is>
      </c>
      <c r="O13">
        <f>IF(AND(Dashboard!$B$9&lt;=Dashboard!$B$8,H9=Dashboard!$B$9,OR(NOT(O9),Dashboard!$B$9=Control!$B$7)),"PASS","REVIEW")</f>
        <v/>
      </c>
    </row>
    <row r="14">
      <c r="N14" t="inlineStr">
        <is>
          <t>Check: closed</t>
        </is>
      </c>
      <c r="O14">
        <f>IF(AND(Dashboard!$B$10=B8,OR(NOT(O9),Dashboard!$B$10=Control!$B$4)),"PASS","REVIEW")</f>
        <v/>
      </c>
    </row>
    <row r="15">
      <c r="N15" t="inlineStr">
        <is>
          <t>Check: on-time rate</t>
        </is>
      </c>
      <c r="O15">
        <f>IF(Dashboard!$B$10=0,IF(Dashboard!$B$11="N/A","PASS","REVIEW"),IF(AND(ROUND(O8/Dashboard!$B$10-Dashboard!$B$11,6)=0,OR(NOT(O9),ROUND(Dashboard!$B$11-Control!$B$10,6)=0)),"PASS","REVIEW"))</f>
        <v/>
      </c>
    </row>
    <row r="16">
      <c r="N16" t="inlineStr">
        <is>
          <t>Check: recorded cost</t>
        </is>
      </c>
      <c r="O16">
        <f>IF(AND(ROUND(Dashboard!$B$12-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,tblWorkOrders[Cost_SGD]),2)=0,OR(NOT(O9),ROUND(Dashboard!$B$12-Control!$B$11,2)=0)),"PASS","REVIEW")</f>
        <v/>
      </c>
    </row>
  </sheetData>
  <conditionalFormatting sqref="B10">
    <cfRule type="expression" priority="1" dxfId="1">
      <formula>B10&lt;&gt;Dashboard!$B$7</formula>
    </cfRule>
  </conditionalFormatting>
  <conditionalFormatting sqref="E9">
    <cfRule type="expression" priority="2" dxfId="1">
      <formula>E9&lt;&gt;Dashboard!$B$7</formula>
    </cfRule>
  </conditionalFormatting>
  <conditionalFormatting sqref="L9">
    <cfRule type="expression" priority="3" dxfId="1">
      <formula>L9&lt;&gt;Dashboard!$B$7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Woodlands Hub</t>
        </is>
      </c>
      <c r="B2" t="inlineStr">
        <is>
          <t>Leak Repair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Jurong Depot</t>
        </is>
      </c>
      <c r="B3" t="inlineStr">
        <is>
          <t>Valve Repair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Tampines Centre</t>
        </is>
      </c>
      <c r="B4" t="inlineStr">
        <is>
          <t>Pipe Replacement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Paya Lebar Office</t>
        </is>
      </c>
      <c r="B5" t="inlineStr">
        <is>
          <t>Pump Service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Changi Workshop</t>
        </is>
      </c>
      <c r="B6" t="inlineStr">
        <is>
          <t>Meter Service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>
      <c r="D10" t="inlineStr">
        <is>
          <t>Unassigned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2026-10-18T08:15:45Z</dcterms:created>
  <dcterms:modified xmlns:dcterms="http://purl.org/dc/terms/" xmlns:xsi="http://www.w3.org/2001/XMLSchema-instance" xsi:type="dcterms:W3CDTF">2026-10-18T08:15:45Z</dcterms:modified>
</cp:coreProperties>
</file>