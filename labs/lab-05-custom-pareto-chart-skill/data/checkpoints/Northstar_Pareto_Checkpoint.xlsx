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Evidence_Log" sheetId="7" state="visible" r:id="rId7"/>
    <sheet xmlns:r="http://schemas.openxmlformats.org/officeDocument/2006/relationships" name=".Rules" sheetId="8" state="visible" r:id="rId8"/>
    <sheet xmlns:r="http://schemas.openxmlformats.org/officeDocument/2006/relationships" name="Pareto_Job_Categ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Overdue backlog: category contribution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'Pareto_Job_Category'!B1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'Pareto_Job_Category'!$A$2:$A$6</f>
            </numRef>
          </cat>
          <val>
            <numRef>
              <f>'Pareto_Job_Category'!$B$2:$B$6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'Pareto_Job_Category'!E1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'Pareto_Job_Category'!$A$2:$A$6</f>
            </numRef>
          </cat>
          <val>
            <numRef>
              <f>'Pareto_Job_Category'!$E$2:$E$6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Job 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Work orders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share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WorkOrders" displayName="tblWorkOrders" ref="A1:M121" headerRowCount="1">
  <autoFilter ref="A1:M121"/>
  <tableColumns count="13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</c>
      <c r="C2" s="2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Lab</t>
        </is>
      </c>
      <c r="B1" s="1" t="inlineStr">
        <is>
          <t>Step</t>
        </is>
      </c>
      <c r="C1" s="1" t="inlineStr">
        <is>
          <t>Claim_or_Test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Source_and_Scope</t>
        </is>
      </c>
      <c r="G1" s="1" t="inlineStr">
        <is>
          <t>As_At</t>
        </is>
      </c>
      <c r="H1" s="1" t="inlineStr">
        <is>
          <t>Verified_By</t>
        </is>
      </c>
      <c r="I1" s="1" t="inlineStr">
        <is>
          <t>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Work_Orders, tblWorkOrders, Technicians, current Assigned_To values and source IDs.</t>
        </is>
      </c>
    </row>
    <row r="3">
      <c r="A3" s="2" t="inlineStr">
        <is>
          <t>Use the reporting date from Control!B2. State the selected Site, Job_Category,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DASHBOARD LAYOUT</t>
        </is>
      </c>
    </row>
    <row r="10">
      <c r="A10" s="2" t="inlineStr">
        <is>
          <t>Dashboard sheet: title in A1; Site, Job_Category, Status and Assigned_To dropdowns in B2:B5 (All plus source values); the six measures in B7:B12; data-as-at date and selected scope in D2.</t>
        </is>
      </c>
    </row>
    <row r="11">
      <c r="A11" s="2" t="inlineStr">
        <is>
          <t>Six KPI tiles in D4:I7, one column per tile: title in row 4, large value in row 5, short definition in row 6 and "Checks: PASS" in row 7.</t>
        </is>
      </c>
    </row>
    <row r="12">
      <c r="A12" s="2" t="inlineStr">
        <is>
          <t>Charts in a grid below the tiles: work orders by status and by job category side by side, then a full-width stacked bar by site (overdue backlog, other backlog, Closed, Cancelled).</t>
        </is>
      </c>
    </row>
    <row r="13">
      <c r="A13" s="2" t="inlineStr">
        <is>
          <t>Slicers for Site, Job_Category, Status and Assigned_To on the right of the tiles, connected to tblWorkOrders. KPI formulas use SUBTOTAL visibility so slicers and dropdowns both filter every tile and chart.</t>
        </is>
      </c>
    </row>
    <row r="14">
      <c r="A14" s="2" t="inlineStr">
        <is>
          <t>Put chart summaries, chart-title formulas and KPI checks on Dashboard_Summaries. Never merge cells. Hide gridlines on Dashboard.</t>
        </is>
      </c>
    </row>
    <row r="15">
      <c r="A15" s="2" t="inlineStr">
        <is>
          <t>## DASHBOARD STYLE</t>
        </is>
      </c>
    </row>
    <row r="16">
      <c r="A16" s="2" t="inlineStr">
        <is>
          <t>Tiles: white bold text on solid navy #1F4E79 (totals and rates), blue #2E75B6 (backlog, overdue) or teal #2A9D8F (Closed, cost).</t>
        </is>
      </c>
    </row>
    <row r="17">
      <c r="A17" s="2" t="inlineStr">
        <is>
          <t>Every chart title states the finding from a cell formula, e.g. "Changi Workshop has the most overdue backlog (18 of 50)".</t>
        </is>
      </c>
    </row>
    <row r="18">
      <c r="A18" s="2" t="inlineStr">
        <is>
          <t>Show data labels on bars; no gridlines; rates as % with one decimal. Each chart total must equal B7.</t>
        </is>
      </c>
    </row>
    <row r="19">
      <c r="A19" s="2" t="inlineStr">
        <is>
          <t>## OUTPUT AND REVIEW</t>
        </is>
      </c>
    </row>
    <row r="20">
      <c r="A20" s="2" t="inlineStr">
        <is>
          <t>Use structured table references. Preserve the visible .Rules sheet and unrelated sheets, charts and Prompt_Log.</t>
        </is>
      </c>
    </row>
    <row r="21">
      <c r="A21" s="2" t="inlineStr">
        <is>
          <t>Keep current owners separate from unapproved assignment proposals. Missing facts and approvals remain UNKNOWN.</t>
        </is>
      </c>
    </row>
    <row r="22">
      <c r="A22" s="2" t="inlineStr">
        <is>
          <t>Ask before replacing named output sheets. Reconcile every count, rate and chart against source rows; do not duplicate outputs on rerun.</t>
        </is>
      </c>
    </row>
    <row r="23">
      <c r="A23" s="2">
        <f>"Reporting date: "&amp;TEXT(Control!B2,"yyyy-mm-dd")</f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8" customWidth="1" min="3" max="3"/>
    <col width="17" customWidth="1" min="4" max="4"/>
    <col width="20" customWidth="1" min="5" max="5"/>
  </cols>
  <sheetData>
    <row r="1">
      <c r="A1" s="1" t="inlineStr">
        <is>
          <t>Job_Category</t>
        </is>
      </c>
      <c r="B1" s="1" t="inlineStr">
        <is>
          <t>Count</t>
        </is>
      </c>
      <c r="C1" s="1" t="inlineStr">
        <is>
          <t>Cumulative_Count</t>
        </is>
      </c>
      <c r="D1" s="1" t="inlineStr">
        <is>
          <t>Share</t>
        </is>
      </c>
      <c r="E1" s="1" t="inlineStr">
        <is>
          <t>Cumulative_Percent</t>
        </is>
      </c>
    </row>
    <row r="2">
      <c r="A2" s="2" t="inlineStr">
        <is>
          <t>Pump Service</t>
        </is>
      </c>
      <c r="B2" s="2">
        <f>COUNTIFS(tblWorkOrders[Job_Category],A2,tblWorkOrders[Status],"&lt;&gt;Closed",tblWorkOrders[Status],"&lt;&gt;Cancelled",tblWorkOrders[Due_Date],"&lt;"&amp;Control!$B$2)</f>
      </c>
      <c r="C2" s="2">
        <f>SUM($B$2:B2)</f>
      </c>
      <c r="D2" s="5">
        <f>IF(SUM($B$2:$B$6)=0,"N/A",B2/SUM($B$2:$B$6))</f>
      </c>
      <c r="E2" s="5">
        <f>IF(SUM($B$2:$B$6)=0,"N/A",C2/SUM($B$2:$B$6))</f>
      </c>
    </row>
    <row r="3">
      <c r="A3" s="2" t="inlineStr">
        <is>
          <t>Meter Service</t>
        </is>
      </c>
      <c r="B3" s="2">
        <f>COUNTIFS(tblWorkOrders[Job_Category],A3,tblWorkOrders[Status],"&lt;&gt;Closed",tblWorkOrders[Status],"&lt;&gt;Cancelled",tblWorkOrders[Due_Date],"&lt;"&amp;Control!$B$2)</f>
      </c>
      <c r="C3" s="2">
        <f>SUM($B$2:B3)</f>
      </c>
      <c r="D3" s="5">
        <f>IF(SUM($B$2:$B$6)=0,"N/A",B3/SUM($B$2:$B$6))</f>
      </c>
      <c r="E3" s="5">
        <f>IF(SUM($B$2:$B$6)=0,"N/A",C3/SUM($B$2:$B$6))</f>
      </c>
    </row>
    <row r="4">
      <c r="A4" s="2" t="inlineStr">
        <is>
          <t>Leak Repair</t>
        </is>
      </c>
      <c r="B4" s="2">
        <f>COUNTIFS(tblWorkOrders[Job_Category],A4,tblWorkOrders[Status],"&lt;&gt;Closed",tblWorkOrders[Status],"&lt;&gt;Cancelled",tblWorkOrders[Due_Date],"&lt;"&amp;Control!$B$2)</f>
      </c>
      <c r="C4" s="2">
        <f>SUM($B$2:B4)</f>
      </c>
      <c r="D4" s="5">
        <f>IF(SUM($B$2:$B$6)=0,"N/A",B4/SUM($B$2:$B$6))</f>
      </c>
      <c r="E4" s="5">
        <f>IF(SUM($B$2:$B$6)=0,"N/A",C4/SUM($B$2:$B$6))</f>
      </c>
    </row>
    <row r="5">
      <c r="A5" s="2" t="inlineStr">
        <is>
          <t>Valve Repair</t>
        </is>
      </c>
      <c r="B5" s="2">
        <f>COUNTIFS(tblWorkOrders[Job_Category],A5,tblWorkOrders[Status],"&lt;&gt;Closed",tblWorkOrders[Status],"&lt;&gt;Cancelled",tblWorkOrders[Due_Date],"&lt;"&amp;Control!$B$2)</f>
      </c>
      <c r="C5" s="2">
        <f>SUM($B$2:B5)</f>
      </c>
      <c r="D5" s="5">
        <f>IF(SUM($B$2:$B$6)=0,"N/A",B5/SUM($B$2:$B$6))</f>
      </c>
      <c r="E5" s="5">
        <f>IF(SUM($B$2:$B$6)=0,"N/A",C5/SUM($B$2:$B$6))</f>
      </c>
    </row>
    <row r="6">
      <c r="A6" s="2" t="inlineStr">
        <is>
          <t>Pipe Replacement</t>
        </is>
      </c>
      <c r="B6" s="2">
        <f>COUNTIFS(tblWorkOrders[Job_Category],A6,tblWorkOrders[Status],"&lt;&gt;Closed",tblWorkOrders[Status],"&lt;&gt;Cancelled",tblWorkOrders[Due_Date],"&lt;"&amp;Control!$B$2)</f>
      </c>
      <c r="C6" s="2">
        <f>SUM($B$2:B6)</f>
      </c>
      <c r="D6" s="5">
        <f>IF(SUM($B$2:$B$6)=0,"N/A",B6/SUM($B$2:$B$6))</f>
      </c>
      <c r="E6" s="5">
        <f>IF(SUM($B$2:$B$6)=0,"N/A",C6/SUM($B$2:$B$6))</f>
      </c>
    </row>
    <row r="7">
      <c r="A7" s="2" t="n"/>
      <c r="B7" s="2" t="n"/>
      <c r="C7" s="2" t="n"/>
      <c r="D7" s="2" t="n"/>
      <c r="E7" s="2" t="n"/>
    </row>
    <row r="8">
      <c r="A8" s="2" t="inlineStr">
        <is>
          <t>Reporting date</t>
        </is>
      </c>
      <c r="B8" s="6">
        <f>Control!B2</f>
      </c>
      <c r="C8" s="2" t="n"/>
      <c r="D8" s="2" t="n"/>
      <c r="E8" s="2" t="n"/>
    </row>
    <row r="9">
      <c r="A9" s="2" t="inlineStr">
        <is>
          <t>Scope</t>
        </is>
      </c>
      <c r="B9" s="2" t="inlineStr">
        <is>
          <t>All; overdue backlog only</t>
        </is>
      </c>
      <c r="C9" s="2" t="n"/>
      <c r="D9" s="2" t="n"/>
      <c r="E9" s="2" t="n"/>
    </row>
    <row r="10">
      <c r="A10" s="2" t="inlineStr">
        <is>
          <t>Interpretation</t>
        </is>
      </c>
      <c r="B10" s="2" t="inlineStr">
        <is>
          <t>Four categories first reach80%; counts show contribution, not cause.</t>
        </is>
      </c>
      <c r="C10" s="2" t="n"/>
      <c r="D10" s="2" t="n"/>
      <c r="E10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2026-10-18T08:15:45Z</dcterms:created>
  <dcterms:modified xmlns:dcterms="http://purl.org/dc/terms/" xmlns:xsi="http://www.w3.org/2001/XMLSchema-instance" xsi:type="dcterms:W3CDTF">2026-10-18T08:15:45Z</dcterms:modified>
</cp:coreProperties>
</file>