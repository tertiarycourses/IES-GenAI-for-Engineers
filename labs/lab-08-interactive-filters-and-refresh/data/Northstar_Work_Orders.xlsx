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Evidence_Log" sheetId="7" state="visible" r:id="rId7"/>
    <sheet xmlns:r="http://schemas.openxmlformats.org/officeDocument/2006/relationships" name=".Rules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Dashboard_Summaries" sheetId="10" state="visible" r:id="rId10"/>
    <sheet xmlns:r="http://schemas.openxmlformats.org/officeDocument/2006/relationships" name="Filter_Lists" sheetId="11" state="hidden" r:id="rId11"/>
    <sheet xmlns:r="http://schemas.openxmlformats.org/officeDocument/2006/relationships" name="Refresh_Test_Rows" sheetId="12" state="visible" r:id="rId12"/>
  </sheets>
  <definedNames>
    <definedName name="Slicer_Site">#N/A</definedName>
    <definedName name="Slicer_Job_Category">#N/A</definedName>
    <definedName name="Slicer_Status">#N/A</definedName>
    <definedName name="Slicer_Assigned_To">#N/A</definedName>
  </definedNames>
  <calcPr calcId="124519" fullCalcOnLoad="1"/>
  <extLst>
    <ext xmlns:x15="http://schemas.microsoft.com/office/spreadsheetml/2010/11/main" uri="{46BE6895-7355-4a93-B00E-2C351335B9C9}">
      <x15:slicerCaches xmlns:x14="http://schemas.microsoft.com/office/spreadsheetml/2009/9/main">
        <x14:slicerCache xmlns:r="http://schemas.openxmlformats.org/officeDocument/2006/relationships" r:id="rIdSlicerCache1"/>
        <x14:slicerCache xmlns:r="http://schemas.openxmlformats.org/officeDocument/2006/relationships" r:id="rIdSlicerCache2"/>
        <x14:slicerCache xmlns:r="http://schemas.openxmlformats.org/officeDocument/2006/relationships" r:id="rIdSlicerCache3"/>
        <x14:slicerCache xmlns:r="http://schemas.openxmlformats.org/officeDocument/2006/relationships" r:id="rIdSlicerCache4"/>
      </x15:slicerCaches>
    </ext>
  </extLst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S$&quot;#,##0.00"/>
  </numFmts>
  <fonts count="1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3"/>
    </font>
    <font>
      <b val="1"/>
      <color rgb="001F4E79"/>
    </font>
    <font>
      <b val="1"/>
      <color rgb="001F4E79"/>
      <sz val="20"/>
    </font>
    <font>
      <i val="1"/>
      <color rgb="00404040"/>
      <sz val="11"/>
    </font>
    <font>
      <color rgb="00595959"/>
      <sz val="9"/>
    </font>
    <font>
      <i val="1"/>
      <color rgb="00595959"/>
    </font>
    <font>
      <b val="1"/>
      <color rgb="001F4E79"/>
      <sz val="9"/>
    </font>
    <font>
      <b val="1"/>
      <color rgb="00FFFFFF"/>
      <sz val="12"/>
    </font>
    <font>
      <b val="1"/>
      <color rgb="00FFFFFF"/>
      <sz val="28"/>
    </font>
    <font>
      <color rgb="00FFFFFF"/>
      <sz val="9"/>
    </font>
    <font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F4E79"/>
      </patternFill>
    </fill>
    <fill>
      <patternFill patternType="solid">
        <fgColor rgb="00F3F6FA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2A9D8F"/>
      </patternFill>
    </fill>
  </fills>
  <borders count="4">
    <border>
      <left/>
      <right/>
      <top/>
      <bottom/>
      <diagonal/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bottom style="thin">
        <color rgb="00C9D3E3"/>
      </bottom>
    </border>
    <border>
      <left style="thick">
        <color rgb="00FFFFFF"/>
      </left>
      <right style="thick">
        <color rgb="00FFFFFF"/>
      </right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9" fillId="3" borderId="3" applyAlignment="1" pivotButton="0" quotePrefix="0" xfId="0">
      <alignment horizontal="center" vertical="center"/>
    </xf>
    <xf numFmtId="0" fontId="9" fillId="6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1" fontId="10" fillId="3" borderId="3" applyAlignment="1" pivotButton="0" quotePrefix="0" xfId="0">
      <alignment horizontal="center" vertical="center" shrinkToFit="1"/>
    </xf>
    <xf numFmtId="1" fontId="10" fillId="6" borderId="3" applyAlignment="1" pivotButton="0" quotePrefix="0" xfId="0">
      <alignment horizontal="center" vertical="center" shrinkToFit="1"/>
    </xf>
    <xf numFmtId="1" fontId="10" fillId="7" borderId="3" applyAlignment="1" pivotButton="0" quotePrefix="0" xfId="0">
      <alignment horizontal="center" vertical="center" shrinkToFit="1"/>
    </xf>
    <xf numFmtId="165" fontId="10" fillId="3" borderId="3" applyAlignment="1" pivotButton="0" quotePrefix="0" xfId="0">
      <alignment horizontal="center" vertical="center" shrinkToFit="1"/>
    </xf>
    <xf numFmtId="166" fontId="10" fillId="7" borderId="3" applyAlignment="1" pivotButton="0" quotePrefix="0" xfId="0">
      <alignment horizontal="center" vertical="center" shrinkToFit="1"/>
    </xf>
    <xf numFmtId="0" fontId="1" fillId="3" borderId="0" applyAlignment="1" pivotButton="0" quotePrefix="0" xfId="0">
      <alignment vertical="center"/>
    </xf>
    <xf numFmtId="0" fontId="11" fillId="3" borderId="3" applyAlignment="1" pivotButton="0" quotePrefix="0" xfId="0">
      <alignment horizontal="center" vertical="center" wrapText="1"/>
    </xf>
    <xf numFmtId="0" fontId="11" fillId="6" borderId="3" applyAlignment="1" pivotButton="0" quotePrefix="0" xfId="0">
      <alignment horizontal="center" vertical="center" wrapText="1"/>
    </xf>
    <xf numFmtId="0" fontId="11" fillId="7" borderId="3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center"/>
    </xf>
    <xf numFmtId="1" fontId="3" fillId="4" borderId="2" applyAlignment="1" pivotButton="0" quotePrefix="0" xfId="0">
      <alignment horizontal="right" vertical="center"/>
    </xf>
    <xf numFmtId="0" fontId="12" fillId="3" borderId="3" applyAlignment="1" pivotButton="0" quotePrefix="0" xfId="0">
      <alignment horizontal="center" vertical="center"/>
    </xf>
    <xf numFmtId="0" fontId="12" fillId="6" borderId="3" applyAlignment="1" pivotButton="0" quotePrefix="0" xfId="0">
      <alignment horizontal="center" vertical="center"/>
    </xf>
    <xf numFmtId="0" fontId="12" fillId="7" borderId="3" applyAlignment="1" pivotButton="0" quotePrefix="0" xfId="0">
      <alignment horizontal="center" vertical="center"/>
    </xf>
    <xf numFmtId="165" fontId="3" fillId="4" borderId="2" applyAlignment="1" pivotButton="0" quotePrefix="0" xfId="0">
      <alignment horizontal="right" vertical="center"/>
    </xf>
    <xf numFmtId="166" fontId="3" fillId="4" borderId="2" applyAlignment="1" pivotButton="0" quotePrefix="0" xfId="0">
      <alignment horizontal="right" vertical="center"/>
    </xf>
    <xf numFmtId="0" fontId="7" fillId="4" borderId="0" applyAlignment="1" pivotButton="0" quotePrefix="0" xfId="0">
      <alignment vertical="center"/>
    </xf>
    <xf numFmtId="0" fontId="7" fillId="4" borderId="0" applyAlignment="1" pivotButton="0" quotePrefix="0" xfId="0">
      <alignment horizontal="right" vertical="center"/>
    </xf>
    <xf numFmtId="0" fontId="8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ont>
        <b val="1"/>
        <color rgb="00C00000"/>
      </font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Relationship Id="rIdSlicerCache1" Type="http://schemas.microsoft.com/office/2007/relationships/slicerCache" Target="slicerCaches/slicerCache1.xml"/><Relationship Id="rIdSlicerCache2" Type="http://schemas.microsoft.com/office/2007/relationships/slicerCache" Target="slicerCaches/slicerCache2.xml"/><Relationship Id="rIdSlicerCache3" Type="http://schemas.microsoft.com/office/2007/relationships/slicerCache" Target="slicerCaches/slicerCache3.xml"/><Relationship Id="rIdSlicerCache4" Type="http://schemas.microsoft.com/office/2007/relationships/slicerCache" Target="slicerCaches/slicerCache4.xml"/></Relationships>
</file>

<file path=xl/charts/chart1.xml><?xml version="1.0" encoding="utf-8"?>
<chartSpace xmlns="http://schemas.openxmlformats.org/drawingml/2006/chart">
  <chart>
    <title>
      <tx>
        <strRef>
          <f>'Dashboard_Summaries'!$O$4</f>
          <strCache>
            <ptCount val="1"/>
            <pt idx="0">
              <v>Closed is the largest status group (48 of 120)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300" b="1">
              <a:solidFill>
                <a:srgbClr val="404040"/>
              </a:solidFill>
            </a:defRPr>
          </a:pPr>
          <a:endParaRPr sz="1300" b="1">
            <a:solidFill>
              <a:srgbClr val="404040"/>
            </a:solidFill>
          </a:endParaRPr>
        </a:p>
      </txPr>
    </title>
    <plotArea>
      <barChart>
        <barDir val="col"/>
        <grouping val="clustered"/>
        <ser>
          <idx val="0"/>
          <order val="0"/>
          <tx>
            <strRef>
              <f>'Dashboard_Summaries'!B3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'Dashboard_Summaries'!$A$4:$A$9</f>
            </numRef>
          </cat>
          <val>
            <numRef>
              <f>'Dashboard_Summaries'!$B$4:$B$9</f>
            </numRef>
          </val>
        </ser>
        <dLbls>
          <numFmt formatCode="0;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404040"/>
                  </a:solidFill>
                </a:defRPr>
              </a:pPr>
              <a:endParaRPr sz="900" b="0">
                <a:solidFill>
                  <a:srgbClr val="404040"/>
                </a:solidFill>
              </a:endParaRPr>
            </a:p>
          </txPr>
          <showLegendKey val="0"/>
          <showVal val="1"/>
          <showCatName val="0"/>
          <showSerName val="0"/>
          <showPercent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04040"/>
                </a:solidFill>
              </a:defRPr>
            </a:pPr>
            <a:endParaRPr sz="900" b="0">
              <a:solidFill>
                <a:srgbClr val="404040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strRef>
          <f>'Dashboard_Summaries'!$O$5</f>
          <strCache>
            <ptCount val="1"/>
            <pt idx="0">
              <v>All five job categories are level at 24 work orders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300" b="1">
              <a:solidFill>
                <a:srgbClr val="404040"/>
              </a:solidFill>
            </a:defRPr>
          </a:pPr>
          <a:endParaRPr sz="1300" b="1">
            <a:solidFill>
              <a:srgbClr val="404040"/>
            </a:solidFill>
          </a:endParaRPr>
        </a:p>
      </txPr>
    </title>
    <plotArea>
      <barChart>
        <barDir val="bar"/>
        <grouping val="clustered"/>
        <ser>
          <idx val="0"/>
          <order val="0"/>
          <tx>
            <strRef>
              <f>'Dashboard_Summaries'!E3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'Dashboard_Summaries'!$D$4:$D$8</f>
            </numRef>
          </cat>
          <val>
            <numRef>
              <f>'Dashboard_Summaries'!$E$4:$E$8</f>
            </numRef>
          </val>
        </ser>
        <dLbls>
          <numFmt formatCode="0;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404040"/>
                  </a:solidFill>
                </a:defRPr>
              </a:pPr>
              <a:endParaRPr sz="900" b="0">
                <a:solidFill>
                  <a:srgbClr val="404040"/>
                </a:solidFill>
              </a:endParaRPr>
            </a:p>
          </txPr>
          <showLegendKey val="0"/>
          <showVal val="1"/>
          <showCatName val="0"/>
          <showSerName val="0"/>
          <showPercent val="0"/>
        </dLbls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04040"/>
                </a:solidFill>
              </a:defRPr>
            </a:pPr>
            <a:endParaRPr sz="900" b="0">
              <a:solidFill>
                <a:srgbClr val="404040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strRef>
          <f>'Dashboard_Summaries'!$O$6</f>
          <strCache>
            <ptCount val="1"/>
            <pt idx="0">
              <v>Changi Workshop has the most overdue backlog (18 of 50)</v>
            </pt>
          </strCache>
        </strRef>
      </tx>
      <overlay val="0"/>
      <txPr>
        <a:bodyPr xmlns:a="http://schemas.openxmlformats.org/drawingml/2006/main"/>
        <a:p xmlns:a="http://schemas.openxmlformats.org/drawingml/2006/main">
          <a:pPr>
            <a:defRPr sz="1300" b="1">
              <a:solidFill>
                <a:srgbClr val="404040"/>
              </a:solidFill>
            </a:defRPr>
          </a:pPr>
          <a:endParaRPr sz="1300" b="1">
            <a:solidFill>
              <a:srgbClr val="404040"/>
            </a:solidFill>
          </a:endParaRPr>
        </a:p>
      </txPr>
    </title>
    <plotArea>
      <barChart>
        <barDir val="bar"/>
        <grouping val="stacked"/>
        <ser>
          <idx val="0"/>
          <order val="0"/>
          <tx>
            <strRef>
              <f>'Dashboard_Summaries'!H3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'Dashboard_Summaries'!$G$4:$G$8</f>
            </numRef>
          </cat>
          <val>
            <numRef>
              <f>'Dashboard_Summaries'!$H$4:$H$8</f>
            </numRef>
          </val>
        </ser>
        <ser>
          <idx val="1"/>
          <order val="1"/>
          <tx>
            <strRef>
              <f>'Dashboard_Summaries'!I3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'Dashboard_Summaries'!$G$4:$G$8</f>
            </numRef>
          </cat>
          <val>
            <numRef>
              <f>'Dashboard_Summaries'!$I$4:$I$8</f>
            </numRef>
          </val>
        </ser>
        <ser>
          <idx val="2"/>
          <order val="2"/>
          <tx>
            <strRef>
              <f>'Dashboard_Summaries'!J3</f>
            </strRef>
          </tx>
          <spPr>
            <a:solidFill xmlns:a="http://schemas.openxmlformats.org/drawingml/2006/main">
              <a:srgbClr val="2A9D8F"/>
            </a:solidFill>
            <a:ln xmlns:a="http://schemas.openxmlformats.org/drawingml/2006/main">
              <a:prstDash val="solid"/>
            </a:ln>
          </spPr>
          <cat>
            <numRef>
              <f>'Dashboard_Summaries'!$G$4:$G$8</f>
            </numRef>
          </cat>
          <val>
            <numRef>
              <f>'Dashboard_Summaries'!$J$4:$J$8</f>
            </numRef>
          </val>
        </ser>
        <ser>
          <idx val="3"/>
          <order val="3"/>
          <tx>
            <strRef>
              <f>'Dashboard_Summaries'!K3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>
              <a:prstDash val="solid"/>
            </a:ln>
          </spPr>
          <cat>
            <numRef>
              <f>'Dashboard_Summaries'!$G$4:$G$8</f>
            </numRef>
          </cat>
          <val>
            <numRef>
              <f>'Dashboard_Summaries'!$K$4:$K$8</f>
            </numRef>
          </val>
        </ser>
        <dLbls>
          <numFmt formatCode="0;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FFFFFF"/>
                  </a:solidFill>
                </a:defRPr>
              </a:pPr>
              <a:endParaRPr sz="900" b="0">
                <a:solidFill>
                  <a:srgbClr val="FFFFFF"/>
                </a:solidFill>
              </a:endParaRPr>
            </a:p>
          </txPr>
          <showLegendKey val="0"/>
          <showVal val="1"/>
          <showCatName val="0"/>
          <showSerName val="0"/>
          <showPercent val="0"/>
        </dLbls>
        <gapWidth val="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404040"/>
                </a:solidFill>
              </a:defRPr>
            </a:pPr>
            <a:endParaRPr sz="900" b="0">
              <a:solidFill>
                <a:srgbClr val="404040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404040"/>
              </a:solidFill>
            </a:defRPr>
          </a:pPr>
          <a:endParaRPr sz="900" b="0">
            <a:solidFill>
              <a:srgbClr val="404040"/>
            </a:solidFill>
          </a:endParaRP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:a="http://schemas.openxmlformats.org/drawingml/2006/main" xmlns="http://schemas.openxmlformats.org/drawingml/2006/spreadsheetDrawing" xmlns:xdr="http://schemas.openxmlformats.org/drawingml/2006/spreadsheetDrawing">
  <oneCellAnchor>
    <from>
      <col>3</col>
      <colOff>0</colOff>
      <row>8</row>
      <rowOff>0</rowOff>
    </from>
    <ext cx="4942857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8</row>
      <rowOff>0</rowOff>
    </from>
    <ext cx="4942857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25</row>
      <rowOff>0</rowOff>
    </from>
    <ext cx="9885714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xdr:twoCellAnchor editAs="oneCell">
    <xdr:from>
      <xdr:col>10</xdr:col>
      <xdr:colOff>38100</xdr:colOff>
      <xdr:row>3</xdr:row>
      <xdr:rowOff>0</xdr:rowOff>
    </xdr:from>
    <xdr:to>
      <xdr:col>10</xdr:col>
      <xdr:colOff>2038350</xdr:colOff>
      <xdr:row>6</xdr:row>
      <xdr:rowOff>66675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0" name="Si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00000" cy="16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table slicer. Table slicers need Excel 2013 or later.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38100</xdr:colOff>
      <xdr:row>6</xdr:row>
      <xdr:rowOff>161925</xdr:rowOff>
    </xdr:from>
    <xdr:to>
      <xdr:col>10</xdr:col>
      <xdr:colOff>2038350</xdr:colOff>
      <xdr:row>14</xdr:row>
      <xdr:rowOff>142875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1" name="Job_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_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00000" cy="16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table slicer. Table slicers need Excel 2013 or later.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38100</xdr:colOff>
      <xdr:row>15</xdr:row>
      <xdr:rowOff>47625</xdr:rowOff>
    </xdr:from>
    <xdr:to>
      <xdr:col>10</xdr:col>
      <xdr:colOff>2038350</xdr:colOff>
      <xdr:row>21</xdr:row>
      <xdr:rowOff>28575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2" name="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00000" cy="16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table slicer. Table slicers need Excel 2013 or later.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38100</xdr:colOff>
      <xdr:row>21</xdr:row>
      <xdr:rowOff>123825</xdr:rowOff>
    </xdr:from>
    <xdr:to>
      <xdr:col>10</xdr:col>
      <xdr:colOff>2038350</xdr:colOff>
      <xdr:row>29</xdr:row>
      <xdr:rowOff>142875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3" name="Assigned_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ssigned_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300000" cy="16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table slicer. Table slicers need Excel 2013 or later.</a:t>
              </a:r>
            </a:p>
          </xdr:txBody>
        </xdr:sp>
      </mc:Fallback>
    </mc:AlternateContent>
    <xdr:clientData/>
  </xdr:twoCellAnchor>
</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ite" sourceName="Site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Job_Category" sourceName="Job_Category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us" sourceName="Status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ssigned_To" sourceName="Assigned_To">
  <extLst>
    <x:ext xmlns:x15="http://schemas.microsoft.com/office/spreadsheetml/2010/11/main" uri="{2F2917AC-EB37-4324-AD4E-5DD8C200BD13}">
      <x15:tableSlicerCache tableId="1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ite" cache="Slicer_Site" caption="Site" columnCount="1" style="SlicerStyleLight1" rowHeight="225425"/>
  <slicer name="Job_Category" cache="Slicer_Job_Category" caption="Job Category" columnCount="1" style="SlicerStyleLight1" rowHeight="225425"/>
  <slicer name="Status" cache="Slicer_Status" caption="Status" columnCount="2" style="SlicerStyleLight1" rowHeight="225425"/>
  <slicer name="Assigned_To" cache="Slicer_Assigned_To" caption="Assigned To" columnCount="2" style="SlicerStyleLight1" rowHeight="225425"/>
</slicers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Relationship Id="rIdSlicer1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6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Use</t>
        </is>
      </c>
      <c r="B6" s="2" t="inlineStr">
        <is>
          <t>Synthetic training data. Work on this file in your lab folder.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6" t="n">
        <v>46290</v>
      </c>
      <c r="H2" s="6" t="n">
        <v>46297</v>
      </c>
      <c r="I2" s="6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6" t="n">
        <v>46289</v>
      </c>
      <c r="H3" s="6" t="n">
        <v>46297</v>
      </c>
      <c r="I3" s="6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6" t="n">
        <v>46288</v>
      </c>
      <c r="H4" s="6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6" t="n">
        <v>46287</v>
      </c>
      <c r="H5" s="6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6" t="n">
        <v>46286</v>
      </c>
      <c r="H6" s="6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6" t="n">
        <v>46285</v>
      </c>
      <c r="H7" s="6" t="n">
        <v>46297</v>
      </c>
      <c r="I7" s="6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6" t="n">
        <v>46284</v>
      </c>
      <c r="H8" s="6" t="n">
        <v>46297</v>
      </c>
      <c r="I8" s="6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6" t="n">
        <v>46283</v>
      </c>
      <c r="H9" s="6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6" t="n">
        <v>46282</v>
      </c>
      <c r="H10" s="6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6" t="n">
        <v>46281</v>
      </c>
      <c r="H11" s="6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6" t="n">
        <v>46280</v>
      </c>
      <c r="H12" s="6" t="n">
        <v>46287</v>
      </c>
      <c r="I12" s="6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6" t="n">
        <v>46279</v>
      </c>
      <c r="H13" s="6" t="n">
        <v>46287</v>
      </c>
      <c r="I13" s="6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n"/>
      <c r="G14" s="6" t="n">
        <v>46278</v>
      </c>
      <c r="H14" s="6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6" t="n">
        <v>46277</v>
      </c>
      <c r="H15" s="6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6" t="n">
        <v>46276</v>
      </c>
      <c r="H16" s="6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6" t="n">
        <v>46275</v>
      </c>
      <c r="H17" s="6" t="n">
        <v>46287</v>
      </c>
      <c r="I17" s="6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6" t="n">
        <v>46274</v>
      </c>
      <c r="H18" s="6" t="n">
        <v>46287</v>
      </c>
      <c r="I18" s="6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6" t="n">
        <v>46273</v>
      </c>
      <c r="H19" s="6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6" t="n">
        <v>46272</v>
      </c>
      <c r="H20" s="6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6" t="n">
        <v>46271</v>
      </c>
      <c r="H21" s="6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6" t="n">
        <v>46270</v>
      </c>
      <c r="H22" s="6" t="n">
        <v>46277</v>
      </c>
      <c r="I22" s="6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6" t="n">
        <v>46269</v>
      </c>
      <c r="H23" s="6" t="n">
        <v>46277</v>
      </c>
      <c r="I23" s="6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6" t="n">
        <v>46268</v>
      </c>
      <c r="H24" s="6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6" t="n">
        <v>46267</v>
      </c>
      <c r="H25" s="6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n"/>
      <c r="G26" s="6" t="n">
        <v>46266</v>
      </c>
      <c r="H26" s="6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6" t="n">
        <v>46265</v>
      </c>
      <c r="H27" s="6" t="n">
        <v>46277</v>
      </c>
      <c r="I27" s="6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6" t="n">
        <v>46264</v>
      </c>
      <c r="H28" s="6" t="n">
        <v>46277</v>
      </c>
      <c r="I28" s="6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6" t="n">
        <v>46263</v>
      </c>
      <c r="H29" s="6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6" t="n">
        <v>46262</v>
      </c>
      <c r="H30" s="6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6" t="n">
        <v>46261</v>
      </c>
      <c r="H31" s="6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6" t="n">
        <v>46260</v>
      </c>
      <c r="H32" s="6" t="n">
        <v>46267</v>
      </c>
      <c r="I32" s="6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6" t="n">
        <v>46259</v>
      </c>
      <c r="H33" s="6" t="n">
        <v>46267</v>
      </c>
      <c r="I33" s="6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6" t="n">
        <v>46258</v>
      </c>
      <c r="H34" s="6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6" t="n">
        <v>46257</v>
      </c>
      <c r="H35" s="6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6" t="n">
        <v>46256</v>
      </c>
      <c r="H36" s="6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6" t="n">
        <v>46255</v>
      </c>
      <c r="H37" s="6" t="n">
        <v>46267</v>
      </c>
      <c r="I37" s="6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6" t="n">
        <v>46254</v>
      </c>
      <c r="H38" s="6" t="n">
        <v>46267</v>
      </c>
      <c r="I38" s="6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6" t="n">
        <v>46253</v>
      </c>
      <c r="H39" s="6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6" t="n">
        <v>46252</v>
      </c>
      <c r="H40" s="6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6" t="n">
        <v>46251</v>
      </c>
      <c r="H41" s="6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6" t="n">
        <v>46250</v>
      </c>
      <c r="H42" s="6" t="n">
        <v>46257</v>
      </c>
      <c r="I42" s="6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6" t="n">
        <v>46249</v>
      </c>
      <c r="H43" s="6" t="n">
        <v>46257</v>
      </c>
      <c r="I43" s="6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6" t="n">
        <v>46248</v>
      </c>
      <c r="H44" s="6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6" t="n">
        <v>46247</v>
      </c>
      <c r="H45" s="6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6" t="n">
        <v>46246</v>
      </c>
      <c r="H46" s="6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6" t="n">
        <v>46245</v>
      </c>
      <c r="H47" s="6" t="n">
        <v>46257</v>
      </c>
      <c r="I47" s="6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6" t="n">
        <v>46244</v>
      </c>
      <c r="H48" s="6" t="n">
        <v>46257</v>
      </c>
      <c r="I48" s="6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6" t="n">
        <v>46243</v>
      </c>
      <c r="H49" s="6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n"/>
      <c r="G50" s="6" t="n">
        <v>46242</v>
      </c>
      <c r="H50" s="6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6" t="n">
        <v>46241</v>
      </c>
      <c r="H51" s="6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6" t="n">
        <v>46240</v>
      </c>
      <c r="H52" s="6" t="n">
        <v>46247</v>
      </c>
      <c r="I52" s="6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6" t="n">
        <v>46239</v>
      </c>
      <c r="H53" s="6" t="n">
        <v>46247</v>
      </c>
      <c r="I53" s="6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6" t="n">
        <v>46238</v>
      </c>
      <c r="H54" s="6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6" t="n">
        <v>46237</v>
      </c>
      <c r="H55" s="6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6" t="n">
        <v>46236</v>
      </c>
      <c r="H56" s="6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6" t="n">
        <v>46235</v>
      </c>
      <c r="H57" s="6" t="n">
        <v>46247</v>
      </c>
      <c r="I57" s="6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6" t="n">
        <v>46234</v>
      </c>
      <c r="H58" s="6" t="n">
        <v>46247</v>
      </c>
      <c r="I58" s="6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6" t="n">
        <v>46233</v>
      </c>
      <c r="H59" s="6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6" t="n">
        <v>46232</v>
      </c>
      <c r="H60" s="6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6" t="n">
        <v>46231</v>
      </c>
      <c r="H61" s="6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6" t="n">
        <v>46230</v>
      </c>
      <c r="H62" s="6" t="n">
        <v>46237</v>
      </c>
      <c r="I62" s="6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6" t="n">
        <v>46229</v>
      </c>
      <c r="H63" s="6" t="n">
        <v>46237</v>
      </c>
      <c r="I63" s="6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6" t="n">
        <v>46228</v>
      </c>
      <c r="H64" s="6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6" t="n">
        <v>46227</v>
      </c>
      <c r="H65" s="6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6" t="n">
        <v>46226</v>
      </c>
      <c r="H66" s="6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6" t="n">
        <v>46225</v>
      </c>
      <c r="H67" s="6" t="n">
        <v>46237</v>
      </c>
      <c r="I67" s="6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6" t="n">
        <v>46224</v>
      </c>
      <c r="H68" s="6" t="n">
        <v>46237</v>
      </c>
      <c r="I68" s="6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6" t="n">
        <v>46223</v>
      </c>
      <c r="H69" s="6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6" t="n">
        <v>46222</v>
      </c>
      <c r="H70" s="6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6" t="n">
        <v>46221</v>
      </c>
      <c r="H71" s="6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6" t="n">
        <v>46220</v>
      </c>
      <c r="H72" s="6" t="n">
        <v>46227</v>
      </c>
      <c r="I72" s="6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6" t="n">
        <v>46219</v>
      </c>
      <c r="H73" s="6" t="n">
        <v>46227</v>
      </c>
      <c r="I73" s="6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n"/>
      <c r="G74" s="6" t="n">
        <v>46218</v>
      </c>
      <c r="H74" s="6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6" t="n">
        <v>46217</v>
      </c>
      <c r="H75" s="6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6" t="n">
        <v>46216</v>
      </c>
      <c r="H76" s="6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6" t="n">
        <v>46215</v>
      </c>
      <c r="H77" s="6" t="n">
        <v>46227</v>
      </c>
      <c r="I77" s="6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6" t="n">
        <v>46214</v>
      </c>
      <c r="H78" s="6" t="n">
        <v>46227</v>
      </c>
      <c r="I78" s="6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6" t="n">
        <v>46213</v>
      </c>
      <c r="H79" s="6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6" t="n">
        <v>46212</v>
      </c>
      <c r="H80" s="6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6" t="n">
        <v>46211</v>
      </c>
      <c r="H81" s="6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6" t="n">
        <v>46290</v>
      </c>
      <c r="H82" s="6" t="n">
        <v>46297</v>
      </c>
      <c r="I82" s="6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6" t="n">
        <v>46289</v>
      </c>
      <c r="H83" s="6" t="n">
        <v>46297</v>
      </c>
      <c r="I83" s="6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6" t="n">
        <v>46288</v>
      </c>
      <c r="H84" s="6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6" t="n">
        <v>46287</v>
      </c>
      <c r="H85" s="6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n"/>
      <c r="G86" s="6" t="n">
        <v>46286</v>
      </c>
      <c r="H86" s="6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6" t="n">
        <v>46285</v>
      </c>
      <c r="H87" s="6" t="n">
        <v>46297</v>
      </c>
      <c r="I87" s="6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6" t="n">
        <v>46284</v>
      </c>
      <c r="H88" s="6" t="n">
        <v>46297</v>
      </c>
      <c r="I88" s="6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6" t="n">
        <v>46283</v>
      </c>
      <c r="H89" s="6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6" t="n">
        <v>46282</v>
      </c>
      <c r="H90" s="6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6" t="n">
        <v>46281</v>
      </c>
      <c r="H91" s="6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6" t="n">
        <v>46280</v>
      </c>
      <c r="H92" s="6" t="n">
        <v>46287</v>
      </c>
      <c r="I92" s="6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6" t="n">
        <v>46279</v>
      </c>
      <c r="H93" s="6" t="n">
        <v>46287</v>
      </c>
      <c r="I93" s="6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6" t="n">
        <v>46278</v>
      </c>
      <c r="H94" s="6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6" t="n">
        <v>46277</v>
      </c>
      <c r="H95" s="6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6" t="n">
        <v>46276</v>
      </c>
      <c r="H96" s="6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6" t="n">
        <v>46275</v>
      </c>
      <c r="H97" s="6" t="n">
        <v>46287</v>
      </c>
      <c r="I97" s="6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6" t="n">
        <v>46274</v>
      </c>
      <c r="H98" s="6" t="n">
        <v>46287</v>
      </c>
      <c r="I98" s="6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6" t="n">
        <v>46273</v>
      </c>
      <c r="H99" s="6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6" t="n">
        <v>46272</v>
      </c>
      <c r="H100" s="6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6" t="n">
        <v>46271</v>
      </c>
      <c r="H101" s="6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6" t="n">
        <v>46270</v>
      </c>
      <c r="H102" s="6" t="n">
        <v>46277</v>
      </c>
      <c r="I102" s="6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6" t="n">
        <v>46269</v>
      </c>
      <c r="H103" s="6" t="n">
        <v>46277</v>
      </c>
      <c r="I103" s="6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6" t="n">
        <v>46268</v>
      </c>
      <c r="H104" s="6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6" t="n">
        <v>46267</v>
      </c>
      <c r="H105" s="6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6" t="n">
        <v>46266</v>
      </c>
      <c r="H106" s="6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6" t="n">
        <v>46265</v>
      </c>
      <c r="H107" s="6" t="n">
        <v>46277</v>
      </c>
      <c r="I107" s="6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6" t="n">
        <v>46264</v>
      </c>
      <c r="H108" s="6" t="n">
        <v>46277</v>
      </c>
      <c r="I108" s="6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6" t="n">
        <v>46263</v>
      </c>
      <c r="H109" s="6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n"/>
      <c r="G110" s="6" t="n">
        <v>46262</v>
      </c>
      <c r="H110" s="6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6" t="n">
        <v>46261</v>
      </c>
      <c r="H111" s="6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6" t="n">
        <v>46260</v>
      </c>
      <c r="H112" s="6" t="n">
        <v>46267</v>
      </c>
      <c r="I112" s="6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6" t="n">
        <v>46259</v>
      </c>
      <c r="H113" s="6" t="n">
        <v>46267</v>
      </c>
      <c r="I113" s="6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6" t="n">
        <v>46258</v>
      </c>
      <c r="H114" s="6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6" t="n">
        <v>46257</v>
      </c>
      <c r="H115" s="6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6" t="n">
        <v>46256</v>
      </c>
      <c r="H116" s="6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6" t="n">
        <v>46255</v>
      </c>
      <c r="H117" s="6" t="n">
        <v>46267</v>
      </c>
      <c r="I117" s="6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6" t="n">
        <v>46254</v>
      </c>
      <c r="H118" s="6" t="n">
        <v>46267</v>
      </c>
      <c r="I118" s="6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6" t="n">
        <v>46253</v>
      </c>
      <c r="H119" s="6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6" t="n">
        <v>46252</v>
      </c>
      <c r="H120" s="6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6" t="n">
        <v>46251</v>
      </c>
      <c r="H121" s="6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6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 xml:space="preserve">Total </t>
        </is>
      </c>
      <c r="C2" s="2" t="inlineStr">
        <is>
          <t>Total : 120
Backlog : 60
Overdue : 50</t>
        </is>
      </c>
    </row>
    <row r="3">
      <c r="A3" s="2" t="inlineStr">
        <is>
          <t>Step 2</t>
        </is>
      </c>
      <c r="B3" s="2" t="inlineStr">
        <is>
          <t xml:space="preserve">Total </t>
        </is>
      </c>
      <c r="C3" s="2" t="inlineStr">
        <is>
          <t>Total : 24
Backlog : 8
Overdue : 7
Closed : 16
On time : 10 of 16
Cost : S$6,668.50</t>
        </is>
      </c>
    </row>
    <row r="4">
      <c r="A4" s="2" t="inlineStr">
        <is>
          <t>Step 3</t>
        </is>
      </c>
      <c r="B4" s="2" t="inlineStr">
        <is>
          <t xml:space="preserve">Check </t>
        </is>
      </c>
      <c r="C4" s="2" t="inlineStr">
        <is>
          <t>Check : on-time rate shows N/A, not 0%</t>
        </is>
      </c>
    </row>
    <row r="5">
      <c r="A5" s="2" t="inlineStr">
        <is>
          <t>Step 4</t>
        </is>
      </c>
      <c r="B5" s="2" t="inlineStr">
        <is>
          <t xml:space="preserve">Total </t>
        </is>
      </c>
      <c r="C5" s="2" t="inlineStr">
        <is>
          <t>Total : 122
Closed : 49
Backlog : 61
Overdue : 51
Cost : S$36,227.50</t>
        </is>
      </c>
    </row>
    <row r="6">
      <c r="A6" s="2" t="inlineStr">
        <is>
          <t>Step 5</t>
        </is>
      </c>
      <c r="B6" s="2" t="inlineStr">
        <is>
          <t>EXCEL - CHAT ONLY</t>
        </is>
      </c>
      <c r="C6" s="2" t="inlineStr">
        <is>
          <t>EXCEL - CHAT ONLY:
Check that every KPI tile and chart on the Dashboard includes the two new work orders, WO-2026-0121 and WO-2026-0122. List any number that did not update.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8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Lab</t>
        </is>
      </c>
      <c r="B1" s="1" t="inlineStr">
        <is>
          <t>Step</t>
        </is>
      </c>
      <c r="C1" s="1" t="inlineStr">
        <is>
          <t>Claim_or_Test</t>
        </is>
      </c>
      <c r="D1" s="1" t="inlineStr">
        <is>
          <t>Expected</t>
        </is>
      </c>
      <c r="E1" s="1" t="inlineStr">
        <is>
          <t>Observed</t>
        </is>
      </c>
      <c r="F1" s="1" t="inlineStr">
        <is>
          <t>Source_and_Scope</t>
        </is>
      </c>
      <c r="G1" s="1" t="inlineStr">
        <is>
          <t>As_At</t>
        </is>
      </c>
      <c r="H1" s="1" t="inlineStr">
        <is>
          <t>Verified_By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DASHBOARD LAYOUT</t>
        </is>
      </c>
    </row>
    <row r="10">
      <c r="A10" s="2" t="inlineStr">
        <is>
          <t>Dashboard sheet: title in A1; Site, Job_Category, Status and Assigned_To dropdowns in B2:B5 (All plus source values); the six measures in B7:B12; data-as-at date and selected scope in D2.</t>
        </is>
      </c>
    </row>
    <row r="11">
      <c r="A11" s="2" t="inlineStr">
        <is>
          <t>Six KPI tiles in D4:I7, one column per tile: title in row 4, large value in row 5, short definition in row 6 and "Checks: PASS" in row 7.</t>
        </is>
      </c>
    </row>
    <row r="12">
      <c r="A12" s="2" t="inlineStr">
        <is>
          <t>Charts in a grid below the tiles: work orders by status and by job category side by side, then a full-width stacked bar by site (overdue backlog, other backlog, Closed, Cancelled).</t>
        </is>
      </c>
    </row>
    <row r="13">
      <c r="A13" s="2" t="inlineStr">
        <is>
          <t>Slicers for Site, Job_Category, Status and Assigned_To on the right of the tiles, connected to tblWorkOrders. KPI formulas use SUBTOTAL visibility so slicers and dropdowns both filter every tile and chart.</t>
        </is>
      </c>
    </row>
    <row r="14">
      <c r="A14" s="2" t="inlineStr">
        <is>
          <t>Put chart summaries, chart-title formulas and KPI checks on Dashboard_Summaries. Never merge cells. Hide gridlines on Dashboard.</t>
        </is>
      </c>
    </row>
    <row r="15">
      <c r="A15" s="2" t="inlineStr">
        <is>
          <t>## DASHBOARD STYLE</t>
        </is>
      </c>
    </row>
    <row r="16">
      <c r="A16" s="2" t="inlineStr">
        <is>
          <t>Tiles: white bold text on solid navy #1F4E79 (totals and rates), blue #2E75B6 (backlog, overdue) or teal #2A9D8F (Closed, cost).</t>
        </is>
      </c>
    </row>
    <row r="17">
      <c r="A17" s="2" t="inlineStr">
        <is>
          <t>Every chart title states the finding from a cell formula, e.g. "Changi Workshop has the most overdue backlog (18 of 50)".</t>
        </is>
      </c>
    </row>
    <row r="18">
      <c r="A18" s="2" t="inlineStr">
        <is>
          <t>Show data labels on bars; no gridlines; rates as % with one decimal. Each chart total must equal B7.</t>
        </is>
      </c>
    </row>
    <row r="19">
      <c r="A19" s="2" t="inlineStr">
        <is>
          <t>## OUTPUT AND REVIEW</t>
        </is>
      </c>
    </row>
    <row r="20">
      <c r="A20" s="2" t="inlineStr">
        <is>
          <t>Use structured table references. Preserve the visible .Rules sheet and unrelated sheets, charts and Prompt_Log.</t>
        </is>
      </c>
    </row>
    <row r="21">
      <c r="A21" s="2" t="inlineStr">
        <is>
          <t>Keep current owners separate from unapproved assignment proposals. Missing facts and approvals remain UNKNOWN.</t>
        </is>
      </c>
    </row>
    <row r="22">
      <c r="A22" s="2" t="inlineStr">
        <is>
          <t>Ask before replacing named output sheets. Reconcile every count, rate and chart against source rows; do not duplicate outputs on rerun.</t>
        </is>
      </c>
    </row>
    <row r="23">
      <c r="A23" s="2">
        <f>"Reporting date: "&amp;TEXT(Control!B2,"yyyy-mm-dd")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zoomScale="85"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2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" customWidth="1" min="10" max="10"/>
    <col width="31" customWidth="1" min="11" max="11"/>
  </cols>
  <sheetData>
    <row r="1" ht="34" customHeight="1">
      <c r="A1" s="9">
        <f>"Northstar Maintenance Dashboard — Q3 work orders to "&amp;TEXT(Control!$B$2,"dd-mmm-yyyy")</f>
        <v/>
      </c>
    </row>
    <row r="2" ht="20" customHeight="1">
      <c r="A2" s="10" t="inlineStr">
        <is>
          <t>Site</t>
        </is>
      </c>
      <c r="B2" s="11" t="inlineStr">
        <is>
          <t>All</t>
        </is>
      </c>
      <c r="D2" s="12">
        <f>"Data as at "&amp;TEXT(Control!$B$2,"yyyy-mm-dd")&amp;"   ·   Site: "&amp;$B$2&amp;"  ·  Category: "&amp;$B$3&amp;"  ·  Status: "&amp;$B$4&amp;"  ·  Owner: "&amp;$B$5</f>
        <v/>
      </c>
    </row>
    <row r="3" ht="18" customHeight="1">
      <c r="A3" s="10" t="inlineStr">
        <is>
          <t>Job_Category</t>
        </is>
      </c>
      <c r="B3" s="11" t="inlineStr">
        <is>
          <t>All</t>
        </is>
      </c>
      <c r="D3" s="13">
        <f>IF(SUBTOTAL(103,tblWorkOrders[Work_Order_ID])&lt;ROWS(tblWorkOrders[Work_Order_ID]),"⚠ Slicer filter active: "&amp;SUBTOTAL(103,tblWorkOrders[Work_Order_ID])&amp;" of "&amp;ROWS(tblWorkOrders[Work_Order_ID])&amp;" source rows included. Clear the slicers for the full baseline.","All "&amp;ROWS(tblWorkOrders[Work_Order_ID])&amp;" source rows available (no slicer filter).")</f>
        <v/>
      </c>
    </row>
    <row r="4" ht="26" customHeight="1">
      <c r="A4" s="10" t="inlineStr">
        <is>
          <t>Status</t>
        </is>
      </c>
      <c r="B4" s="11" t="inlineStr">
        <is>
          <t>All</t>
        </is>
      </c>
      <c r="D4" s="14" t="inlineStr">
        <is>
          <t>Total work orders</t>
        </is>
      </c>
      <c r="E4" s="15" t="inlineStr">
        <is>
          <t>Backlog</t>
        </is>
      </c>
      <c r="F4" s="15" t="inlineStr">
        <is>
          <t>Overdue backlog</t>
        </is>
      </c>
      <c r="G4" s="16" t="inlineStr">
        <is>
          <t>Closed</t>
        </is>
      </c>
      <c r="H4" s="14" t="inlineStr">
        <is>
          <t>On-time closure rate</t>
        </is>
      </c>
      <c r="I4" s="16" t="inlineStr">
        <is>
          <t>Recorded cost</t>
        </is>
      </c>
    </row>
    <row r="5" ht="50" customHeight="1">
      <c r="A5" s="10" t="inlineStr">
        <is>
          <t>Assigned_To</t>
        </is>
      </c>
      <c r="B5" s="11" t="inlineStr">
        <is>
          <t>All</t>
        </is>
      </c>
      <c r="D5" s="17">
        <f>B7</f>
        <v/>
      </c>
      <c r="E5" s="18">
        <f>B8</f>
        <v/>
      </c>
      <c r="F5" s="18">
        <f>B9</f>
        <v/>
      </c>
      <c r="G5" s="19">
        <f>B10</f>
        <v/>
      </c>
      <c r="H5" s="20">
        <f>B11</f>
        <v/>
      </c>
      <c r="I5" s="21">
        <f>B12</f>
        <v/>
      </c>
    </row>
    <row r="6" ht="38" customHeight="1">
      <c r="A6" s="22" t="inlineStr">
        <is>
          <t>Measure</t>
        </is>
      </c>
      <c r="B6" s="22" t="inlineStr">
        <is>
          <t>Current selection</t>
        </is>
      </c>
      <c r="D6" s="23">
        <f>"Selected of "&amp;ROWS(tblWorkOrders[Work_Order_ID])&amp;" rows in tblWorkOrders"</f>
        <v/>
      </c>
      <c r="E6" s="24">
        <f>IF(B7=0,"No rows selected",TEXT(B8/B7,"0%")&amp;" of selection; "&amp;Dashboard_Summaries!O7&amp;" unassigned")</f>
        <v/>
      </c>
      <c r="F6" s="24">
        <f>"Backlog due before "&amp;TEXT(Control!$B$2,"dd-mmm-yyyy")</f>
        <v/>
      </c>
      <c r="G6" s="25">
        <f>"Cancelled in selection: "&amp;Dashboard_Summaries!B9</f>
        <v/>
      </c>
      <c r="H6" s="23">
        <f>IF(B10=0,"No closed jobs in selection",Dashboard_Summaries!O8&amp;" of "&amp;B10&amp;" closed by due date")</f>
        <v/>
      </c>
      <c r="I6" s="25">
        <f>"Cost_SGD, all statuses; not a budget"</f>
        <v/>
      </c>
    </row>
    <row r="7" ht="22" customHeight="1">
      <c r="A7" s="26" t="inlineStr">
        <is>
          <t>Total work orders</t>
        </is>
      </c>
      <c r="B7" s="27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)</f>
        <v/>
      </c>
      <c r="D7" s="28">
        <f>"Checks: "&amp;Dashboard_Summaries!O11</f>
        <v/>
      </c>
      <c r="E7" s="29">
        <f>"Checks: "&amp;Dashboard_Summaries!O12</f>
        <v/>
      </c>
      <c r="F7" s="29">
        <f>"Checks: "&amp;Dashboard_Summaries!O13</f>
        <v/>
      </c>
      <c r="G7" s="30">
        <f>"Checks: "&amp;Dashboard_Summaries!O14</f>
        <v/>
      </c>
      <c r="H7" s="28">
        <f>"Checks: "&amp;Dashboard_Summaries!O15</f>
        <v/>
      </c>
      <c r="I7" s="30">
        <f>"Checks: "&amp;Dashboard_Summaries!O16</f>
        <v/>
      </c>
    </row>
    <row r="8" ht="10" customHeight="1">
      <c r="A8" s="26" t="inlineStr">
        <is>
          <t>Backlog</t>
        </is>
      </c>
      <c r="B8" s="27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)</f>
        <v/>
      </c>
    </row>
    <row r="9">
      <c r="A9" s="26" t="inlineStr">
        <is>
          <t>Overdue backlog</t>
        </is>
      </c>
      <c r="B9" s="27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)</f>
        <v/>
      </c>
    </row>
    <row r="10">
      <c r="A10" s="26" t="inlineStr">
        <is>
          <t>Closed</t>
        </is>
      </c>
      <c r="B10" s="27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*(tblWorkOrders[Status]="Closed"))</f>
        <v/>
      </c>
    </row>
    <row r="11">
      <c r="A11" s="26" t="inlineStr">
        <is>
          <t>On-time closure rate</t>
        </is>
      </c>
      <c r="B11" s="31">
        <f>IF(B10=0,"N/A",Dashboard_Summaries!O8/B10)</f>
        <v/>
      </c>
    </row>
    <row r="12">
      <c r="A12" s="26" t="inlineStr">
        <is>
          <t>Recorded cost (S$)</t>
        </is>
      </c>
      <c r="B12" s="32">
        <f>SUMPRODUCT(((tblWorkOrders[Site]=$B$2)+($B$2="All")&gt;0)*((tblWorkOrders[Job_Category]=$B$3)+($B$3="All")&gt;0)*((tblWorkOrders[Status]=$B$4)+($B$4="All")&gt;0)*((tblWorkOrders[Assigned_To]=$B$5)+($B$5="All")+(($B$5="Unassigned")*(tblWorkOrders[Assigned_To]=""))&gt;0)*SUBTOTAL(103,OFFSET(tblWorkOrders[[#Headers],[Work_Order_ID]],ROW(tblWorkOrders[Work_Order_ID])-ROW(tblWorkOrders[[#Headers],[Work_Order_ID]]),0)),tblWorkOrders[Cost_SGD])</f>
        <v/>
      </c>
    </row>
    <row r="13">
      <c r="A13" s="33" t="inlineStr">
        <is>
          <t>Rows after slicers</t>
        </is>
      </c>
      <c r="B13" s="34">
        <f>SUBTOTAL(103,tblWorkOrders[Work_Order_ID])</f>
        <v/>
      </c>
    </row>
    <row r="15">
      <c r="A15" s="35" t="inlineStr">
        <is>
          <t>How to filter</t>
        </is>
      </c>
    </row>
    <row r="16">
      <c r="A16" s="36" t="inlineStr">
        <is>
          <t>• Dropdowns B2:B5 or the slicers</t>
        </is>
      </c>
    </row>
    <row r="17">
      <c r="A17" s="36" t="inlineStr">
        <is>
          <t xml:space="preserve">  both filter every tile and chart.</t>
        </is>
      </c>
    </row>
    <row r="18">
      <c r="A18" s="36" t="inlineStr">
        <is>
          <t>• Unassigned = blank Assigned_To.</t>
        </is>
      </c>
    </row>
    <row r="19">
      <c r="A19" s="36" t="inlineStr">
        <is>
          <t>• Baseline: all All, slicers cleared.</t>
        </is>
      </c>
    </row>
    <row r="20">
      <c r="A20" s="36" t="inlineStr">
        <is>
          <t>• Summaries + checks:</t>
        </is>
      </c>
    </row>
    <row r="21">
      <c r="A21" s="36" t="inlineStr">
        <is>
          <t xml:space="preserve">  Dashboard_Summaries sheet.</t>
        </is>
      </c>
    </row>
  </sheetData>
  <conditionalFormatting sqref="D3">
    <cfRule type="expression" priority="1" dxfId="0">
      <formula>LEFT($D$3,1)="⚠"</formula>
    </cfRule>
  </conditionalFormatting>
  <dataValidations count="4">
    <dataValidation sqref="B2" showDropDown="0" showInputMessage="0" showErrorMessage="1" allowBlank="0" errorTitle="Choose from the list" error="Pick All or a value from the dropdown." type="list">
      <formula1>'Filter_Lists'!$A$1:$A$6</formula1>
    </dataValidation>
    <dataValidation sqref="B3" showDropDown="0" showInputMessage="0" showErrorMessage="1" allowBlank="0" errorTitle="Choose from the list" error="Pick All or a value from the dropdown." type="list">
      <formula1>'Filter_Lists'!$B$1:$B$6</formula1>
    </dataValidation>
    <dataValidation sqref="B4" showDropDown="0" showInputMessage="0" showErrorMessage="1" allowBlank="0" errorTitle="Choose from the list" error="Pick All or a value from the dropdown." type="list">
      <formula1>'Filter_Lists'!$C$1:$C$7</formula1>
    </dataValidation>
    <dataValidation sqref="B5" showDropDown="0" showInputMessage="0" showErrorMessage="1" allowBlank="0" errorTitle="Choose from the list" error="Pick All or a value from the dropdown." type="list">
      <formula1>'Filter_Lists'!$D$1:$D$10</formula1>
    </dataValidation>
  </dataValidations>
  <pageMargins left="0.75" right="0.75" top="1" bottom="1" header="0.5" footer="0.5"/>
  <drawing xmlns:r="http://schemas.openxmlformats.org/officeDocument/2006/relationships" r:id="rId1"/>
  <extLst>
    <ext xmlns:x15="http://schemas.microsoft.com/office/spreadsheetml/2010/11/main" uri="{3A4CF648-6AED-40f4-86FF-DC5316D8AED3}">
      <x14:slicerList xmlns:x14="http://schemas.microsoft.com/office/spreadsheetml/2009/9/main">
        <x14:slicer xmlns:r="http://schemas.openxmlformats.org/officeDocument/2006/relationships" r:id="rIdSlicer1"/>
      </x14:slicerList>
    </ext>
  </extLst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" customWidth="1" min="3" max="3"/>
    <col width="18" customWidth="1" min="4" max="4"/>
    <col width="12" customWidth="1" min="5" max="5"/>
    <col width="3" customWidth="1" min="6" max="6"/>
    <col width="18" customWidth="1" min="7" max="7"/>
    <col width="15" customWidth="1" min="8" max="8"/>
    <col width="13" customWidth="1" min="9" max="9"/>
    <col width="10" customWidth="1" min="10" max="10"/>
    <col width="11" customWidth="1" min="11" max="11"/>
    <col width="9" customWidth="1" min="12" max="12"/>
    <col width="3" customWidth="1" min="13" max="13"/>
    <col width="30" customWidth="1" min="14" max="14"/>
    <col width="70" customWidth="1" min="15" max="15"/>
  </cols>
  <sheetData>
    <row r="1">
      <c r="A1" s="37" t="inlineStr">
        <is>
          <t>Dashboard chart summaries, titles and checks (formula-backed; same selection as Dashboard)</t>
        </is>
      </c>
    </row>
    <row r="3">
      <c r="A3" s="38" t="inlineStr">
        <is>
          <t>Status</t>
        </is>
      </c>
      <c r="B3" s="38" t="inlineStr">
        <is>
          <t>Work orders</t>
        </is>
      </c>
      <c r="D3" s="38" t="inlineStr">
        <is>
          <t>Job category</t>
        </is>
      </c>
      <c r="E3" s="38" t="inlineStr">
        <is>
          <t>Work orders</t>
        </is>
      </c>
      <c r="G3" s="38" t="inlineStr">
        <is>
          <t>Site</t>
        </is>
      </c>
      <c r="H3" s="38" t="inlineStr">
        <is>
          <t>Overdue backlog</t>
        </is>
      </c>
      <c r="I3" s="38" t="inlineStr">
        <is>
          <t>Other backlog</t>
        </is>
      </c>
      <c r="J3" s="38" t="inlineStr">
        <is>
          <t>Closed</t>
        </is>
      </c>
      <c r="K3" s="38" t="inlineStr">
        <is>
          <t>Cancelled</t>
        </is>
      </c>
      <c r="L3" s="38" t="inlineStr">
        <is>
          <t>Total</t>
        </is>
      </c>
      <c r="N3" s="38" t="inlineStr">
        <is>
          <t>Item</t>
        </is>
      </c>
      <c r="O3" s="38" t="inlineStr">
        <is>
          <t>Value</t>
        </is>
      </c>
    </row>
    <row r="4">
      <c r="A4" t="inlineStr">
        <is>
          <t>New</t>
        </is>
      </c>
      <c r="B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4))</f>
        <v/>
      </c>
      <c r="D4" t="inlineStr">
        <is>
          <t>Leak Repair</t>
        </is>
      </c>
      <c r="E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4))</f>
        <v/>
      </c>
      <c r="G4" t="inlineStr">
        <is>
          <t>Woodlands Hub</t>
        </is>
      </c>
      <c r="H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4))</f>
        <v/>
      </c>
      <c r="I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4))-H4</f>
        <v/>
      </c>
      <c r="J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4))</f>
        <v/>
      </c>
      <c r="K4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4))</f>
        <v/>
      </c>
      <c r="L4">
        <f>SUM(H4:K4)</f>
        <v/>
      </c>
      <c r="N4" t="inlineStr">
        <is>
          <t>Status chart title</t>
        </is>
      </c>
      <c r="O4">
        <f>IF(Dashboard!$B$7=0,"No work orders in the current selection",IF(COUNTIF(B4:B9,MAX(B4:B9))&gt;1,COUNTIF(B4:B9,MAX(B4:B9))&amp;" statuses tie for most work orders ("&amp;MAX(B4:B9)&amp;" each)",INDEX(A4:A9,MATCH(MAX(B4:B9),B4:B9,0))&amp;" is the largest status group ("&amp;MAX(B4:B9)&amp;" of "&amp;Dashboard!$B$7&amp;")"))</f>
        <v/>
      </c>
    </row>
    <row r="5">
      <c r="A5" t="inlineStr">
        <is>
          <t>Assigned</t>
        </is>
      </c>
      <c r="B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5))</f>
        <v/>
      </c>
      <c r="D5" t="inlineStr">
        <is>
          <t>Valve Repair</t>
        </is>
      </c>
      <c r="E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5))</f>
        <v/>
      </c>
      <c r="G5" t="inlineStr">
        <is>
          <t>Jurong Depot</t>
        </is>
      </c>
      <c r="H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5))</f>
        <v/>
      </c>
      <c r="I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5))-H5</f>
        <v/>
      </c>
      <c r="J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5))</f>
        <v/>
      </c>
      <c r="K5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5))</f>
        <v/>
      </c>
      <c r="L5">
        <f>SUM(H5:K5)</f>
        <v/>
      </c>
      <c r="N5" t="inlineStr">
        <is>
          <t>Category chart title</t>
        </is>
      </c>
      <c r="O5">
        <f>IF(Dashboard!$B$7=0,"No work orders in the current selection",IF(MAX(E4:E8)=MIN(E4:E8),"All five job categories are level at "&amp;MAX(E4:E8)&amp;" work orders",IF(COUNTIF(E4:E8,MAX(E4:E8))&gt;1,COUNTIF(E4:E8,MAX(E4:E8))&amp;" categories tie for most work orders ("&amp;MAX(E4:E8)&amp;" each)",INDEX(D4:D8,MATCH(MAX(E4:E8),E4:E8,0))&amp;" has the most work orders ("&amp;MAX(E4:E8)&amp;")")))</f>
        <v/>
      </c>
    </row>
    <row r="6">
      <c r="A6" t="inlineStr">
        <is>
          <t>In Progress</t>
        </is>
      </c>
      <c r="B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6))</f>
        <v/>
      </c>
      <c r="D6" t="inlineStr">
        <is>
          <t>Pipe Replacement</t>
        </is>
      </c>
      <c r="E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6))</f>
        <v/>
      </c>
      <c r="G6" t="inlineStr">
        <is>
          <t>Tampines Centre</t>
        </is>
      </c>
      <c r="H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6))</f>
        <v/>
      </c>
      <c r="I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6))-H6</f>
        <v/>
      </c>
      <c r="J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6))</f>
        <v/>
      </c>
      <c r="K6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6))</f>
        <v/>
      </c>
      <c r="L6">
        <f>SUM(H6:K6)</f>
        <v/>
      </c>
      <c r="N6" t="inlineStr">
        <is>
          <t>Site chart title</t>
        </is>
      </c>
      <c r="O6">
        <f>IF(H9=0,"No overdue backlog in the current selection",IF(COUNTIF(H4:H8,MAX(H4:H8))&gt;1,COUNTIF(H4:H8,MAX(H4:H8))&amp;" sites tie for most overdue backlog ("&amp;MAX(H4:H8)&amp;" each)",INDEX(G4:G8,MATCH(MAX(H4:H8),H4:H8,0))&amp;" has the most overdue backlog ("&amp;MAX(H4:H8)&amp;" of "&amp;H9&amp;")"))</f>
        <v/>
      </c>
    </row>
    <row r="7">
      <c r="A7" t="inlineStr">
        <is>
          <t>On Hold</t>
        </is>
      </c>
      <c r="B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7))</f>
        <v/>
      </c>
      <c r="D7" t="inlineStr">
        <is>
          <t>Pump Service</t>
        </is>
      </c>
      <c r="E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7))</f>
        <v/>
      </c>
      <c r="G7" t="inlineStr">
        <is>
          <t>Paya Lebar Office</t>
        </is>
      </c>
      <c r="H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7))</f>
        <v/>
      </c>
      <c r="I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7))-H7</f>
        <v/>
      </c>
      <c r="J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7))</f>
        <v/>
      </c>
      <c r="K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7))</f>
        <v/>
      </c>
      <c r="L7">
        <f>SUM(H7:K7)</f>
        <v/>
      </c>
      <c r="N7" t="inlineStr">
        <is>
          <t>Unassigned backlog</t>
        </is>
      </c>
      <c r="O7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Assigned_To]=""))</f>
        <v/>
      </c>
    </row>
    <row r="8">
      <c r="A8" t="inlineStr">
        <is>
          <t>Closed</t>
        </is>
      </c>
      <c r="B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8))</f>
        <v/>
      </c>
      <c r="D8" t="inlineStr">
        <is>
          <t>Meter Service</t>
        </is>
      </c>
      <c r="E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Job_Category]=D8))</f>
        <v/>
      </c>
      <c r="G8" t="inlineStr">
        <is>
          <t>Changi Workshop</t>
        </is>
      </c>
      <c r="H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Due_Date]&lt;Control!$B$2)*(tblWorkOrders[Site]=G8))</f>
        <v/>
      </c>
      <c r="I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&lt;&gt;"Closed")*(tblWorkOrders[Status]&lt;&gt;"Cancelled")*(tblWorkOrders[Site]=G8))-H8</f>
        <v/>
      </c>
      <c r="J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Site]=G8))</f>
        <v/>
      </c>
      <c r="K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ancelled")*(tblWorkOrders[Site]=G8))</f>
        <v/>
      </c>
      <c r="L8">
        <f>SUM(H8:K8)</f>
        <v/>
      </c>
      <c r="N8" t="inlineStr">
        <is>
          <t>Closed on or before due date</t>
        </is>
      </c>
      <c r="O8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"Closed")*(tblWorkOrders[Closed_Date]&lt;=tblWorkOrders[Due_Date]))</f>
        <v/>
      </c>
    </row>
    <row r="9">
      <c r="A9" t="inlineStr">
        <is>
          <t>Cancelled</t>
        </is>
      </c>
      <c r="B9">
        <f>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*(tblWorkOrders[Status]=A9))</f>
        <v/>
      </c>
      <c r="D9" s="39" t="inlineStr">
        <is>
          <t>Total</t>
        </is>
      </c>
      <c r="E9" s="39">
        <f>SUM(E4:E8)</f>
        <v/>
      </c>
      <c r="G9" s="39" t="inlineStr">
        <is>
          <t>Total</t>
        </is>
      </c>
      <c r="H9" s="39">
        <f>SUM(H4:H8)</f>
        <v/>
      </c>
      <c r="I9" s="39">
        <f>SUM(I4:I8)</f>
        <v/>
      </c>
      <c r="J9" s="39">
        <f>SUM(J4:J8)</f>
        <v/>
      </c>
      <c r="K9" s="39">
        <f>SUM(K4:K8)</f>
        <v/>
      </c>
      <c r="L9" s="39">
        <f>SUM(L4:L8)</f>
        <v/>
      </c>
      <c r="N9" t="inlineStr">
        <is>
          <t>Baseline view (All, no slicer)</t>
        </is>
      </c>
      <c r="O9">
        <f>AND(Dashboard!$B$2="All",Dashboard!$B$3="All",Dashboard!$B$4="All",Dashboard!$B$5="All",SUBTOTAL(103,tblWorkOrders[Work_Order_ID])=ROWS(tblWorkOrders[Work_Order_ID]))</f>
        <v/>
      </c>
    </row>
    <row r="10">
      <c r="A10" s="39" t="inlineStr">
        <is>
          <t>Total</t>
        </is>
      </c>
      <c r="B10" s="39">
        <f>SUM(B4:B9)</f>
        <v/>
      </c>
      <c r="N10" t="inlineStr">
        <is>
          <t>Charts reconcile to B7</t>
        </is>
      </c>
      <c r="O10">
        <f>AND(B10=Dashboard!$B$7,E9=Dashboard!$B$7,L9=Dashboard!$B$7)</f>
        <v/>
      </c>
    </row>
    <row r="11">
      <c r="N11" t="inlineStr">
        <is>
          <t>Check: total work orders</t>
        </is>
      </c>
      <c r="O11">
        <f>IF(AND(O10,OR(NOT(O9),Dashboard!$B$7=Control!$B$3)),"PASS","REVIEW")</f>
        <v/>
      </c>
    </row>
    <row r="12">
      <c r="N12" t="inlineStr">
        <is>
          <t>Check: backlog</t>
        </is>
      </c>
      <c r="O12">
        <f>IF(AND(Dashboard!$B$7=Dashboard!$B$8+Dashboard!$B$10+B9,OR(NOT(O9),Dashboard!$B$8=Control!$B$6)),"PASS","REVIEW")</f>
        <v/>
      </c>
    </row>
    <row r="13">
      <c r="N13" t="inlineStr">
        <is>
          <t>Check: overdue backlog</t>
        </is>
      </c>
      <c r="O13">
        <f>IF(AND(Dashboard!$B$9&lt;=Dashboard!$B$8,H9=Dashboard!$B$9,OR(NOT(O9),Dashboard!$B$9=Control!$B$7)),"PASS","REVIEW")</f>
        <v/>
      </c>
    </row>
    <row r="14">
      <c r="N14" t="inlineStr">
        <is>
          <t>Check: closed</t>
        </is>
      </c>
      <c r="O14">
        <f>IF(AND(Dashboard!$B$10=B8,OR(NOT(O9),Dashboard!$B$10=Control!$B$4)),"PASS","REVIEW")</f>
        <v/>
      </c>
    </row>
    <row r="15">
      <c r="N15" t="inlineStr">
        <is>
          <t>Check: on-time rate</t>
        </is>
      </c>
      <c r="O15">
        <f>IF(Dashboard!$B$10=0,IF(Dashboard!$B$11="N/A","PASS","REVIEW"),IF(AND(ROUND(O8/Dashboard!$B$10-Dashboard!$B$11,6)=0,OR(NOT(O9),ROUND(Dashboard!$B$11-Control!$B$10,6)=0)),"PASS","REVIEW"))</f>
        <v/>
      </c>
    </row>
    <row r="16">
      <c r="N16" t="inlineStr">
        <is>
          <t>Check: recorded cost</t>
        </is>
      </c>
      <c r="O16">
        <f>IF(AND(ROUND(Dashboard!$B$12-SUMPRODUCT(((tblWorkOrders[Site]=Dashboard!$B$2)+(Dashboard!$B$2="All")&gt;0)*((tblWorkOrders[Job_Category]=Dashboard!$B$3)+(Dashboard!$B$3="All")&gt;0)*((tblWorkOrders[Status]=Dashboard!$B$4)+(Dashboard!$B$4="All")&gt;0)*((tblWorkOrders[Assigned_To]=Dashboard!$B$5)+(Dashboard!$B$5="All")+((Dashboard!$B$5="Unassigned")*(tblWorkOrders[Assigned_To]=""))&gt;0)*SUBTOTAL(103,OFFSET(tblWorkOrders[[#Headers],[Work_Order_ID]],ROW(tblWorkOrders[Work_Order_ID])-ROW(tblWorkOrders[[#Headers],[Work_Order_ID]]),0)),tblWorkOrders[Cost_SGD]),2)=0,OR(NOT(O9),ROUND(Dashboard!$B$12-Control!$B$11,2)=0)),"PASS","REVIEW")</f>
        <v/>
      </c>
    </row>
  </sheetData>
  <conditionalFormatting sqref="B10">
    <cfRule type="expression" priority="1" dxfId="1">
      <formula>B10&lt;&gt;Dashboard!$B$7</formula>
    </cfRule>
  </conditionalFormatting>
  <conditionalFormatting sqref="E9">
    <cfRule type="expression" priority="2" dxfId="1">
      <formula>E9&lt;&gt;Dashboard!$B$7</formula>
    </cfRule>
  </conditionalFormatting>
  <conditionalFormatting sqref="L9">
    <cfRule type="expression" priority="3" dxfId="1">
      <formula>L9&lt;&gt;Dashboard!$B$7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Woodlands Hub</t>
        </is>
      </c>
      <c r="B2" t="inlineStr">
        <is>
          <t>Leak Repair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Jurong Depot</t>
        </is>
      </c>
      <c r="B3" t="inlineStr">
        <is>
          <t>Valve Repair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Tampines Centre</t>
        </is>
      </c>
      <c r="B4" t="inlineStr">
        <is>
          <t>Pipe Replacement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Paya Lebar Office</t>
        </is>
      </c>
      <c r="B5" t="inlineStr">
        <is>
          <t>Pump Service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Changi Workshop</t>
        </is>
      </c>
      <c r="B6" t="inlineStr">
        <is>
          <t>Meter Service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>
      <c r="D10" t="inlineStr">
        <is>
          <t>Unassigned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WO-2026-0121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High</t>
        </is>
      </c>
      <c r="E2" s="2" t="inlineStr">
        <is>
          <t>Assigned</t>
        </is>
      </c>
      <c r="F2" s="2" t="inlineStr">
        <is>
          <t>Aisha Tan</t>
        </is>
      </c>
      <c r="G2" s="6" t="n">
        <v>46290</v>
      </c>
      <c r="H2" s="6" t="n">
        <v>46294</v>
      </c>
      <c r="I2" s="2" t="n"/>
      <c r="J2" s="2" t="n">
        <v>3</v>
      </c>
      <c r="K2" s="2" t="n">
        <v>0</v>
      </c>
      <c r="L2" s="2" t="n">
        <v>150</v>
      </c>
      <c r="M2" s="2" t="inlineStr">
        <is>
          <t>Sandbox overdue test</t>
        </is>
      </c>
    </row>
    <row r="3">
      <c r="A3" s="2" t="inlineStr">
        <is>
          <t>WO-2026-0122</t>
        </is>
      </c>
      <c r="B3" s="2" t="inlineStr">
        <is>
          <t>Woodlands Hub</t>
        </is>
      </c>
      <c r="C3" s="2" t="inlineStr">
        <is>
          <t>Valve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6" t="n">
        <v>46285</v>
      </c>
      <c r="H3" s="6" t="n">
        <v>46295</v>
      </c>
      <c r="I3" s="6" t="n">
        <v>46294</v>
      </c>
      <c r="J3" s="2" t="n">
        <v>2</v>
      </c>
      <c r="K3" s="2" t="n">
        <v>2</v>
      </c>
      <c r="L3" s="2" t="n">
        <v>250</v>
      </c>
      <c r="M3" s="2" t="inlineStr">
        <is>
          <t>Sandbox on-time test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inlineStr">
        <is>
          <t>Use only in the sandbox copy (Lab 8 Step 5): copy these two rows below the last row of tblWorkOrders. Do not add them to the baseline workbook.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2026-10-19T16:02:22Z</dcterms:created>
  <dcterms:modified xmlns:dcterms="http://purl.org/dc/terms/" xmlns:xsi="http://www.w3.org/2001/XMLSchema-instance" xsi:type="dcterms:W3CDTF">2026-10-19T16:02:22Z</dcterms:modified>
</cp:coreProperties>
</file>