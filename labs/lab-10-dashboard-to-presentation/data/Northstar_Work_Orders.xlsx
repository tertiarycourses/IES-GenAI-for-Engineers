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Dashboard_Summaries" sheetId="10" state="visible" r:id="rId10"/>
    <sheet xmlns:r="http://schemas.openxmlformats.org/officeDocument/2006/relationships" name="Filter_Lists" sheetId="11" state="hidden" r:id="rId11"/>
  </sheets>
  <definedNames>
    <definedName name="Slicer_Site">#N/A</definedName>
    <definedName name="Slicer_Job_Category">#N/A</definedName>
    <definedName name="Slicer_Status">#N/A</definedName>
    <definedName name="Slicer_Assigned_To">#N/A</definedName>
  </definedNames>
  <calcPr calcId="12451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SlicerCache1"/>
        <x14:slicerCache xmlns:r="http://schemas.openxmlformats.org/officeDocument/2006/relationships" r:id="rIdSlicerCache2"/>
        <x14:slicerCache xmlns:r="http://schemas.openxmlformats.org/officeDocument/2006/relationships" r:id="rIdSlicerCache3"/>
        <x14:slicerCache xmlns:r="http://schemas.openxmlformats.org/officeDocument/2006/relationships" r:id="rIdSlicerCache4"/>
      </x15:slicerCaches>
    </ext>
  </extLst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</font>
    <font>
      <b val="1"/>
      <color rgb="001F4E79"/>
      <sz val="20"/>
    </font>
    <font>
      <i val="1"/>
      <color rgb="00404040"/>
      <sz val="11"/>
    </font>
    <font>
      <color rgb="00595959"/>
      <sz val="9"/>
    </font>
    <font>
      <i val="1"/>
      <color rgb="00595959"/>
    </font>
    <font>
      <b val="1"/>
      <color rgb="001F4E79"/>
      <sz val="9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2A9D8F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thin">
        <color rgb="00C9D3E3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" fontId="10" fillId="3" borderId="3" applyAlignment="1" pivotButton="0" quotePrefix="0" xfId="0">
      <alignment horizontal="center" vertical="center" shrinkToFit="1"/>
    </xf>
    <xf numFmtId="1" fontId="10" fillId="6" borderId="3" applyAlignment="1" pivotButton="0" quotePrefix="0" xfId="0">
      <alignment horizontal="center" vertical="center" shrinkToFit="1"/>
    </xf>
    <xf numFmtId="1" fontId="10" fillId="7" borderId="3" applyAlignment="1" pivotButton="0" quotePrefix="0" xfId="0">
      <alignment horizontal="center" vertical="center" shrinkToFit="1"/>
    </xf>
    <xf numFmtId="165" fontId="10" fillId="3" borderId="3" applyAlignment="1" pivotButton="0" quotePrefix="0" xfId="0">
      <alignment horizontal="center" vertical="center" shrinkToFit="1"/>
    </xf>
    <xf numFmtId="166" fontId="10" fillId="7" borderId="3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Relationship Id="rIdSlicerCache3" Type="http://schemas.microsoft.com/office/2007/relationships/slicerCache" Target="slicerCaches/slicerCache3.xml"/><Relationship Id="rIdSlicerCache4" Type="http://schemas.microsoft.com/office/2007/relationships/slicerCache" Target="slicerCaches/slicerCache4.xml"/></Relationships>
</file>

<file path=xl/charts/chart1.xml><?xml version="1.0" encoding="utf-8"?>
<chartSpace xmlns="http://schemas.openxmlformats.org/drawingml/2006/chart">
  <chart>
    <title>
      <tx>
        <strRef>
          <f>'Dashboard_Summaries'!$O$4</f>
          <strCache>
            <ptCount val="1"/>
            <pt idx="0">
              <v>Closed is the largest status group (48 of 120)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'Dashboard_Summaries'!B3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'Dashboard_Summaries'!$A$4:$A$9</f>
            </numRef>
          </cat>
          <val>
            <numRef>
              <f>'Dashboard_Summaries'!$B$4:$B$9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strRef>
          <f>'Dashboard_Summaries'!$O$5</f>
          <strCache>
            <ptCount val="1"/>
            <pt idx="0">
              <v>All five job categories are level at 24 work orders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clustered"/>
        <ser>
          <idx val="0"/>
          <order val="0"/>
          <tx>
            <strRef>
              <f>'Dashboard_Summaries'!E3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'Dashboard_Summaries'!$D$4:$D$8</f>
            </numRef>
          </cat>
          <val>
            <numRef>
              <f>'Dashboard_Summaries'!$E$4:$E$8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'Dashboard_Summaries'!$O$6</f>
          <strCache>
            <ptCount val="1"/>
            <pt idx="0">
              <v>Changi Workshop has the most overdue backlog (18 of 50)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stacked"/>
        <ser>
          <idx val="0"/>
          <order val="0"/>
          <tx>
            <strRef>
              <f>'Dashboard_Summaries'!H3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'Dashboard_Summaries'!$H$4:$H$8</f>
            </numRef>
          </val>
        </ser>
        <ser>
          <idx val="1"/>
          <order val="1"/>
          <tx>
            <strRef>
              <f>'Dashboard_Summaries'!I3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'Dashboard_Summaries'!$I$4:$I$8</f>
            </numRef>
          </val>
        </ser>
        <ser>
          <idx val="2"/>
          <order val="2"/>
          <tx>
            <strRef>
              <f>'Dashboard_Summaries'!J3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'Dashboard_Summaries'!$J$4:$J$8</f>
            </numRef>
          </val>
        </ser>
        <ser>
          <idx val="3"/>
          <order val="3"/>
          <tx>
            <strRef>
              <f>'Dashboard_Summaries'!K3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'Dashboard_Summaries'!$K$4:$K$8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FFFFFF"/>
                  </a:solidFill>
                </a:defRPr>
              </a:pPr>
              <a:endParaRPr sz="900" b="0">
                <a:solidFill>
                  <a:srgbClr val="FFFFFF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04040"/>
              </a:solidFill>
            </a:defRPr>
          </a:pPr>
          <a:endParaRPr sz="900" b="0">
            <a:solidFill>
              <a:srgbClr val="404040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:a="http://schemas.openxmlformats.org/drawingml/2006/main" xmlns="http://schemas.openxmlformats.org/drawingml/2006/spreadsheetDrawing" xmlns:xdr="http://schemas.openxmlformats.org/drawingml/2006/spreadsheetDrawing">
  <oneCellAnchor>
    <from>
      <col>3</col>
      <colOff>0</colOff>
      <row>8</row>
      <rowOff>0</rowOff>
    </from>
    <ext cx="4942857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942857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25</row>
      <rowOff>0</rowOff>
    </from>
    <ext cx="9885714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xdr:twoCellAnchor editAs="oneCell">
    <xdr:from>
      <xdr:col>10</xdr:col>
      <xdr:colOff>38100</xdr:colOff>
      <xdr:row>3</xdr:row>
      <xdr:rowOff>0</xdr:rowOff>
    </xdr:from>
    <xdr:to>
      <xdr:col>10</xdr:col>
      <xdr:colOff>2038350</xdr:colOff>
      <xdr:row>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i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6</xdr:row>
      <xdr:rowOff>161925</xdr:rowOff>
    </xdr:from>
    <xdr:to>
      <xdr:col>10</xdr:col>
      <xdr:colOff>2038350</xdr:colOff>
      <xdr:row>14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Job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15</xdr:row>
      <xdr:rowOff>47625</xdr:rowOff>
    </xdr:from>
    <xdr:to>
      <xdr:col>10</xdr:col>
      <xdr:colOff>2038350</xdr:colOff>
      <xdr:row>21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21</xdr:row>
      <xdr:rowOff>123825</xdr:rowOff>
    </xdr:from>
    <xdr:to>
      <xdr:col>10</xdr:col>
      <xdr:colOff>2038350</xdr:colOff>
      <xdr:row>29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Assigned_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d_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</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e" sourceName="Si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Category" sourceName="Job_Category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igned_To" sourceName="Assigned_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" cache="Slicer_Site" caption="Site" columnCount="1" style="SlicerStyleLight1" rowHeight="225425"/>
  <slicer name="Job_Category" cache="Slicer_Job_Category" caption="Job Category" columnCount="1" style="SlicerStyleLight1" rowHeight="225425"/>
  <slicer name="Status" cache="Slicer_Status" caption="Status" columnCount="2" style="SlicerStyleLight1" rowHeight="225425"/>
  <slicer name="Assigned_To" cache="Slicer_Assigned_To" caption="Assigned To" columnCount="2" style="SlicerStyleLight1" rowHeight="225425"/>
</slicers>
</file>

<file path=xl/tables/table1.xml><?xml version="1.0" encoding="utf-8"?>
<table xmlns="http://schemas.openxmlformats.org/spreadsheetml/2006/main" id="1" name="tblWorkOrders" displayName="tblWorkOrders" ref="A1:N121" headerRowCount="1">
  <autoFilter ref="A1:N121"/>
  <tableColumns count="14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  <tableColumn id="14" name="Failure_Mode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Synthetic training data. Work on this file in your lab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  <c r="N2" s="2" t="inlineStr">
        <is>
          <t>Corrosion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  <c r="N3" s="2" t="inlineStr">
        <is>
          <t>Corrosion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  <c r="N4" s="2" t="inlineStr">
        <is>
          <t>Joint seal leak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  <c r="N5" s="2" t="inlineStr">
        <is>
          <t>Joint seal leak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  <c r="N6" s="2" t="inlineStr">
        <is>
          <t>Valve seat wear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  <c r="N7" s="2" t="inlineStr">
        <is>
          <t>Valve seat wear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  <c r="N8" s="2" t="inlineStr">
        <is>
          <t>Valve seat wear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  <c r="N9" s="2" t="inlineStr">
        <is>
          <t>Valve seat wear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  <c r="N10" s="2" t="inlineStr">
        <is>
          <t>Corrosion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  <c r="N11" s="2" t="inlineStr">
        <is>
          <t>Corrosion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  <c r="N12" s="2" t="inlineStr">
        <is>
          <t>Corrosion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  <c r="N13" s="2" t="inlineStr">
        <is>
          <t>Corrosion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n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  <c r="N14" s="2" t="inlineStr">
        <is>
          <t>Pump bearing wear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  <c r="N15" s="2" t="inlineStr">
        <is>
          <t>Pump bearing wear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  <c r="N16" s="2" t="inlineStr">
        <is>
          <t>Joint seal leak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  <c r="N17" s="2" t="inlineStr">
        <is>
          <t>Pressure surge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  <c r="N18" s="2" t="inlineStr">
        <is>
          <t>Corrosion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  <c r="N19" s="2" t="inlineStr">
        <is>
          <t>Corrosion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  <c r="N20" s="2" t="inlineStr">
        <is>
          <t>Joint seal leak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  <c r="N21" s="2" t="inlineStr">
        <is>
          <t>Meter fault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  <c r="N22" s="2" t="inlineStr">
        <is>
          <t>Corrosion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  <c r="N23" s="2" t="inlineStr">
        <is>
          <t>Corrosion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  <c r="N24" s="2" t="inlineStr">
        <is>
          <t>Joint seal leak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  <c r="N25" s="2" t="inlineStr">
        <is>
          <t>Corrosion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n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  <c r="N26" s="2" t="inlineStr">
        <is>
          <t>Valve seat wear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  <c r="N27" s="2" t="inlineStr">
        <is>
          <t>Valve seat wear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  <c r="N28" s="2" t="inlineStr">
        <is>
          <t>Valve seat wear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  <c r="N29" s="2" t="inlineStr">
        <is>
          <t>Valve seat wear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  <c r="N30" s="2" t="inlineStr">
        <is>
          <t>Corrosion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  <c r="N31" s="2" t="inlineStr">
        <is>
          <t>Corrosion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  <c r="N32" s="2" t="inlineStr">
        <is>
          <t>Corrosion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  <c r="N33" s="2" t="inlineStr">
        <is>
          <t>Corrosion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  <c r="N34" s="2" t="inlineStr">
        <is>
          <t>Pump bearing wear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  <c r="N35" s="2" t="inlineStr">
        <is>
          <t>Joint seal leak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  <c r="N36" s="2" t="inlineStr">
        <is>
          <t>Joint seal leak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  <c r="N37" s="2" t="inlineStr">
        <is>
          <t>Pump bearing wear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  <c r="N38" s="2" t="inlineStr">
        <is>
          <t>Corrosion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  <c r="N39" s="2" t="inlineStr">
        <is>
          <t>Joint seal leak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  <c r="N40" s="2" t="inlineStr">
        <is>
          <t>Meter fault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  <c r="N41" s="2" t="inlineStr">
        <is>
          <t>Corrosion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  <c r="N42" s="2" t="inlineStr">
        <is>
          <t>Corrosion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  <c r="N43" s="2" t="inlineStr">
        <is>
          <t>Joint seal leak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  <c r="N44" s="2" t="inlineStr">
        <is>
          <t>Third-party damage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  <c r="N45" s="2" t="inlineStr">
        <is>
          <t>Corrosion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  <c r="N46" s="2" t="inlineStr">
        <is>
          <t>Valve seat wear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  <c r="N47" s="2" t="inlineStr">
        <is>
          <t>Valve seat wear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  <c r="N48" s="2" t="inlineStr">
        <is>
          <t>Pressure surge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  <c r="N49" s="2" t="inlineStr">
        <is>
          <t>Valve seat wear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n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  <c r="N50" s="2" t="inlineStr">
        <is>
          <t>Corrosion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  <c r="N51" s="2" t="inlineStr">
        <is>
          <t>Corrosion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  <c r="N52" s="2" t="inlineStr">
        <is>
          <t>Pressure surge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  <c r="N53" s="2" t="inlineStr">
        <is>
          <t>Corrosion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  <c r="N54" s="2" t="inlineStr">
        <is>
          <t>Pump bearing wear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  <c r="N55" s="2" t="inlineStr">
        <is>
          <t>Joint seal leak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  <c r="N56" s="2" t="inlineStr">
        <is>
          <t>Pressure surge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  <c r="N57" s="2" t="inlineStr">
        <is>
          <t>Pump bearing wear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  <c r="N58" s="2" t="inlineStr">
        <is>
          <t>Joint seal leak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  <c r="N59" s="2" t="inlineStr">
        <is>
          <t>Joint seal leak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  <c r="N60" s="2" t="inlineStr">
        <is>
          <t>Blockage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  <c r="N61" s="2" t="inlineStr">
        <is>
          <t>Corrosion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  <c r="N62" s="2" t="inlineStr">
        <is>
          <t>Joint seal leak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  <c r="N63" s="2" t="inlineStr">
        <is>
          <t>Joint seal leak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  <c r="N64" s="2" t="inlineStr">
        <is>
          <t>Corrosion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  <c r="N65" s="2" t="inlineStr">
        <is>
          <t>Corrosion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  <c r="N66" s="2" t="inlineStr">
        <is>
          <t>Valve seat wear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  <c r="N67" s="2" t="inlineStr">
        <is>
          <t>Valve seat wear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  <c r="N68" s="2" t="inlineStr">
        <is>
          <t>Valve seat wear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  <c r="N69" s="2" t="inlineStr">
        <is>
          <t>Valve seat wear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  <c r="N70" s="2" t="inlineStr">
        <is>
          <t>Corrosion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  <c r="N71" s="2" t="inlineStr">
        <is>
          <t>Corrosion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  <c r="N72" s="2" t="inlineStr">
        <is>
          <t>Corrosion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  <c r="N73" s="2" t="inlineStr">
        <is>
          <t>Corrosion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n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  <c r="N74" s="2" t="inlineStr">
        <is>
          <t>Joint seal leak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  <c r="N75" s="2" t="inlineStr">
        <is>
          <t>Joint seal leak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  <c r="N76" s="2" t="inlineStr">
        <is>
          <t>Pump bearing wear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  <c r="N77" s="2" t="inlineStr">
        <is>
          <t>Pump bearing wear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  <c r="N78" s="2" t="inlineStr">
        <is>
          <t>Joint seal leak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  <c r="N79" s="2" t="inlineStr">
        <is>
          <t>Meter fault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  <c r="N80" s="2" t="inlineStr">
        <is>
          <t>Corrosion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  <c r="N81" s="2" t="inlineStr">
        <is>
          <t>Joint seal leak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  <c r="N82" s="2" t="inlineStr">
        <is>
          <t>Joint seal leak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  <c r="N83" s="2" t="inlineStr">
        <is>
          <t>Third-party damage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  <c r="N84" s="2" t="inlineStr">
        <is>
          <t>Corrosion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  <c r="N85" s="2" t="inlineStr">
        <is>
          <t>Joint seal leak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n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  <c r="N86" s="2" t="inlineStr">
        <is>
          <t>Valve seat wear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  <c r="N87" s="2" t="inlineStr">
        <is>
          <t>Pressure surge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  <c r="N88" s="2" t="inlineStr">
        <is>
          <t>Valve seat wear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  <c r="N89" s="2" t="inlineStr">
        <is>
          <t>Valve seat wear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  <c r="N90" s="2" t="inlineStr">
        <is>
          <t>Corrosion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  <c r="N91" s="2" t="inlineStr">
        <is>
          <t>Pressure surge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  <c r="N92" s="2" t="inlineStr">
        <is>
          <t>Corrosion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  <c r="N93" s="2" t="inlineStr">
        <is>
          <t>Corrosion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  <c r="N94" s="2" t="inlineStr">
        <is>
          <t>Joint seal leak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  <c r="N95" s="2" t="inlineStr">
        <is>
          <t>Pressure surge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  <c r="N96" s="2" t="inlineStr">
        <is>
          <t>Pump bearing wear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  <c r="N97" s="2" t="inlineStr">
        <is>
          <t>Joint seal leak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  <c r="N98" s="2" t="inlineStr">
        <is>
          <t>Joint seal leak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  <c r="N99" s="2" t="inlineStr">
        <is>
          <t>Blockage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  <c r="N100" s="2" t="inlineStr">
        <is>
          <t>Corrosion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  <c r="N101" s="2" t="inlineStr">
        <is>
          <t>Joint seal leak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  <c r="N102" s="2" t="inlineStr">
        <is>
          <t>Joint seal leak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  <c r="N103" s="2" t="inlineStr">
        <is>
          <t>Corrosion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  <c r="N104" s="2" t="inlineStr">
        <is>
          <t>Corrosion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  <c r="N105" s="2" t="inlineStr">
        <is>
          <t>Joint seal leak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  <c r="N106" s="2" t="inlineStr">
        <is>
          <t>Valve seat wear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  <c r="N107" s="2" t="inlineStr">
        <is>
          <t>Valve seat wear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  <c r="N108" s="2" t="inlineStr">
        <is>
          <t>Valve seat wear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  <c r="N109" s="2" t="inlineStr">
        <is>
          <t>Valve seat wear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n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  <c r="N110" s="2" t="inlineStr">
        <is>
          <t>Corrosion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  <c r="N111" s="2" t="inlineStr">
        <is>
          <t>Corrosion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  <c r="N112" s="2" t="inlineStr">
        <is>
          <t>Corrosion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  <c r="N113" s="2" t="inlineStr">
        <is>
          <t>Corrosion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  <c r="N114" s="2" t="inlineStr">
        <is>
          <t>Pressure surge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  <c r="N115" s="2" t="inlineStr">
        <is>
          <t>Pump bearing wear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  <c r="N116" s="2" t="inlineStr">
        <is>
          <t>Joint seal leak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  <c r="N117" s="2" t="inlineStr">
        <is>
          <t>Joint seal leak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  <c r="N118" s="2" t="inlineStr">
        <is>
          <t>Meter fault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  <c r="N119" s="2" t="inlineStr">
        <is>
          <t>Corrosion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  <c r="N120" s="2" t="inlineStr">
        <is>
          <t>Joint seal leak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  <c r="N121" s="2" t="inlineStr">
        <is>
          <t>Joint seal leak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WORD COPILOT</t>
        </is>
      </c>
      <c r="C2" s="2" t="inlineStr">
        <is>
          <t>WORD COPILOT:
Use the uploaded Northstar_Work_Orders.xlsx to write a brief for an 8-slide management presentation. For each slide give a headline, the number that supports it and a one-line speaker note. Slides: overview, portfolio, site backlog, status and category mix, overdue and on-time, unassigned jobs, proposed actions, decision needed. Use only numbers from the workbook.</t>
        </is>
      </c>
    </row>
    <row r="3">
      <c r="A3" s="2" t="inlineStr">
        <is>
          <t>Step 2</t>
        </is>
      </c>
      <c r="B3" s="2" t="inlineStr">
        <is>
          <t>POWERPOINT COPILOT</t>
        </is>
      </c>
      <c r="C3" s="2" t="inlineStr">
        <is>
          <t>POWERPOINT COPILOT:
Fill these 8 slides from the uploaded Northstar_Presentation_Brief.docx, one message per slide. Keep the design, use only numbers from the brief and label actions as proposed.</t>
        </is>
      </c>
    </row>
    <row r="4">
      <c r="A4" s="2" t="inlineStr">
        <is>
          <t>Step 3</t>
        </is>
      </c>
      <c r="B4" s="2" t="inlineStr">
        <is>
          <t xml:space="preserve">Copy from </t>
        </is>
      </c>
      <c r="C4" s="2" t="inlineStr">
        <is>
          <t>Copy from : Excel Dashboard, site chart
Paste to : the site backlog slide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Check these 8 slides against the uploaded brief. List any number that is wrong and give the correct number.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" customWidth="1" min="10" max="10"/>
    <col width="31" customWidth="1" min="11" max="11"/>
  </cols>
  <sheetData>
    <row r="1" ht="34" customHeight="1">
      <c r="A1" s="9">
        <f>"Northstar Maintenance Dashboard — Q3 work orders to "&amp;TEXT(Control!$B$2,"dd-mmm-yyyy")</f>
        <v/>
      </c>
    </row>
    <row r="2" ht="20" customHeight="1">
      <c r="A2" s="10" t="inlineStr">
        <is>
          <t>Site</t>
        </is>
      </c>
      <c r="B2" s="11" t="inlineStr">
        <is>
          <t>All</t>
        </is>
      </c>
      <c r="D2" s="12">
        <f>"Data as at "&amp;TEXT(Control!$B$2,"yyyy-mm-dd")&amp;"   ·   Site: "&amp;$B$2&amp;"  ·  Category: "&amp;$B$3&amp;"  ·  Status: "&amp;$B$4&amp;"  ·  Owner: "&amp;$B$5</f>
        <v/>
      </c>
    </row>
    <row r="3" ht="18" customHeight="1">
      <c r="A3" s="10" t="inlineStr">
        <is>
          <t>Job_Category</t>
        </is>
      </c>
      <c r="B3" s="11" t="inlineStr">
        <is>
          <t>All</t>
        </is>
      </c>
      <c r="D3" s="13">
        <f>IF(SUBTOTAL(103,tblWorkOrders[Work_Order_ID])&lt;ROWS(tblWorkOrders[Work_Order_ID]),"⚠ Slicer filter active: "&amp;SUBTOTAL(103,tblWorkOrders[Work_Order_ID])&amp;" of "&amp;ROWS(tblWorkOrders[Work_Order_ID])&amp;" source rows included. Clear the slicers for the full baseline.","All "&amp;ROWS(tblWorkOrders[Work_Order_ID])&amp;" source rows available (no slicer filter).")</f>
        <v/>
      </c>
    </row>
    <row r="4" ht="26" customHeight="1">
      <c r="A4" s="10" t="inlineStr">
        <is>
          <t>Status</t>
        </is>
      </c>
      <c r="B4" s="11" t="inlineStr">
        <is>
          <t>All</t>
        </is>
      </c>
      <c r="D4" s="14" t="inlineStr">
        <is>
          <t>Total work orders</t>
        </is>
      </c>
      <c r="E4" s="15" t="inlineStr">
        <is>
          <t>Backlog</t>
        </is>
      </c>
      <c r="F4" s="15" t="inlineStr">
        <is>
          <t>Overdue backlog</t>
        </is>
      </c>
      <c r="G4" s="16" t="inlineStr">
        <is>
          <t>Closed</t>
        </is>
      </c>
      <c r="H4" s="14" t="inlineStr">
        <is>
          <t>On-time closure rate</t>
        </is>
      </c>
      <c r="I4" s="16" t="inlineStr">
        <is>
          <t>Recorded cost</t>
        </is>
      </c>
    </row>
    <row r="5" ht="50" customHeight="1">
      <c r="A5" s="10" t="inlineStr">
        <is>
          <t>Assigned_To</t>
        </is>
      </c>
      <c r="B5" s="11" t="inlineStr">
        <is>
          <t>All</t>
        </is>
      </c>
      <c r="D5" s="17">
        <f>B7</f>
        <v/>
      </c>
      <c r="E5" s="18">
        <f>B8</f>
        <v/>
      </c>
      <c r="F5" s="18">
        <f>B9</f>
        <v/>
      </c>
      <c r="G5" s="19">
        <f>B10</f>
        <v/>
      </c>
      <c r="H5" s="20">
        <f>B11</f>
        <v/>
      </c>
      <c r="I5" s="21">
        <f>B12</f>
        <v/>
      </c>
    </row>
    <row r="6" ht="38" customHeight="1">
      <c r="A6" s="22" t="inlineStr">
        <is>
          <t>Measure</t>
        </is>
      </c>
      <c r="B6" s="22" t="inlineStr">
        <is>
          <t>Current selection</t>
        </is>
      </c>
      <c r="D6" s="23">
        <f>"Selected of "&amp;ROWS(tblWorkOrders[Work_Order_ID])&amp;" rows in tblWorkOrders"</f>
        <v/>
      </c>
      <c r="E6" s="24">
        <f>IF(B7=0,"No rows selected",TEXT(B8/B7,"0%")&amp;" of selection; "&amp;Dashboard_Summaries!O7&amp;" unassigned")</f>
        <v/>
      </c>
      <c r="F6" s="24">
        <f>"Backlog due before "&amp;TEXT(Control!$B$2,"dd-mmm-yyyy")</f>
        <v/>
      </c>
      <c r="G6" s="25">
        <f>"Cancelled in selection: "&amp;Dashboard_Summaries!B9</f>
        <v/>
      </c>
      <c r="H6" s="23">
        <f>IF(B10=0,"No closed jobs in selection",Dashboard_Summaries!O8&amp;" of "&amp;B10&amp;" closed by due date")</f>
        <v/>
      </c>
      <c r="I6" s="25">
        <f>"Cost_SGD, all statuses; not a budget"</f>
        <v/>
      </c>
    </row>
    <row r="7" ht="22" customHeight="1">
      <c r="A7" s="26" t="inlineStr">
        <is>
          <t>Total work orders</t>
        </is>
      </c>
      <c r="B7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)</f>
        <v/>
      </c>
      <c r="D7" s="28">
        <f>"Checks: "&amp;Dashboard_Summaries!O11</f>
        <v/>
      </c>
      <c r="E7" s="29">
        <f>"Checks: "&amp;Dashboard_Summaries!O12</f>
        <v/>
      </c>
      <c r="F7" s="29">
        <f>"Checks: "&amp;Dashboard_Summaries!O13</f>
        <v/>
      </c>
      <c r="G7" s="30">
        <f>"Checks: "&amp;Dashboard_Summaries!O14</f>
        <v/>
      </c>
      <c r="H7" s="28">
        <f>"Checks: "&amp;Dashboard_Summaries!O15</f>
        <v/>
      </c>
      <c r="I7" s="30">
        <f>"Checks: "&amp;Dashboard_Summaries!O16</f>
        <v/>
      </c>
    </row>
    <row r="8" ht="10" customHeight="1">
      <c r="A8" s="26" t="inlineStr">
        <is>
          <t>Backlog</t>
        </is>
      </c>
      <c r="B8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)</f>
        <v/>
      </c>
    </row>
    <row r="9">
      <c r="A9" s="26" t="inlineStr">
        <is>
          <t>Overdue backlog</t>
        </is>
      </c>
      <c r="B9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)</f>
        <v/>
      </c>
    </row>
    <row r="10">
      <c r="A10" s="26" t="inlineStr">
        <is>
          <t>Closed</t>
        </is>
      </c>
      <c r="B10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="Closed"))</f>
        <v/>
      </c>
    </row>
    <row r="11">
      <c r="A11" s="26" t="inlineStr">
        <is>
          <t>On-time closure rate</t>
        </is>
      </c>
      <c r="B11" s="31">
        <f>IF(B10=0,"N/A",Dashboard_Summaries!O8/B10)</f>
        <v/>
      </c>
    </row>
    <row r="12">
      <c r="A12" s="26" t="inlineStr">
        <is>
          <t>Recorded cost (S$)</t>
        </is>
      </c>
      <c r="B12" s="32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,tblWorkOrders[Cost_SGD])</f>
        <v/>
      </c>
    </row>
    <row r="13">
      <c r="A13" s="33" t="inlineStr">
        <is>
          <t>Rows after slicers</t>
        </is>
      </c>
      <c r="B13" s="34">
        <f>SUBTOTAL(103,tblWorkOrders[Work_Order_ID])</f>
        <v/>
      </c>
    </row>
    <row r="15">
      <c r="A15" s="35" t="inlineStr">
        <is>
          <t>How to filter</t>
        </is>
      </c>
    </row>
    <row r="16">
      <c r="A16" s="36" t="inlineStr">
        <is>
          <t>• Dropdowns B2:B5 or the slicers</t>
        </is>
      </c>
    </row>
    <row r="17">
      <c r="A17" s="36" t="inlineStr">
        <is>
          <t xml:space="preserve">  both filter every tile and chart.</t>
        </is>
      </c>
    </row>
    <row r="18">
      <c r="A18" s="36" t="inlineStr">
        <is>
          <t>• Unassigned = blank Assigned_To.</t>
        </is>
      </c>
    </row>
    <row r="19">
      <c r="A19" s="36" t="inlineStr">
        <is>
          <t>• Baseline: all All, slicers cleared.</t>
        </is>
      </c>
    </row>
    <row r="20">
      <c r="A20" s="36" t="inlineStr">
        <is>
          <t>• Summaries + checks:</t>
        </is>
      </c>
    </row>
    <row r="21">
      <c r="A21" s="36" t="inlineStr">
        <is>
          <t xml:space="preserve">  Dashboard_Summaries sheet.</t>
        </is>
      </c>
    </row>
  </sheetData>
  <conditionalFormatting sqref="D3">
    <cfRule type="expression" priority="1" dxfId="0">
      <formula>LEFT($D$3,1)="⚠"</formula>
    </cfRule>
  </conditionalFormatting>
  <dataValidations count="4">
    <dataValidation sqref="B2" showDropDown="0" showInputMessage="0" showErrorMessage="1" allowBlank="0" errorTitle="Choose from the list" error="Pick All or a value from the dropdown." type="list">
      <formula1>'Filter_Lists'!$A$1:$A$6</formula1>
    </dataValidation>
    <dataValidation sqref="B3" showDropDown="0" showInputMessage="0" showErrorMessage="1" allowBlank="0" errorTitle="Choose from the list" error="Pick All or a value from the dropdown." type="list">
      <formula1>'Filter_Lists'!$B$1:$B$6</formula1>
    </dataValidation>
    <dataValidation sqref="B4" showDropDown="0" showInputMessage="0" showErrorMessage="1" allowBlank="0" errorTitle="Choose from the list" error="Pick All or a value from the dropdown." type="list">
      <formula1>'Filter_Lists'!$C$1:$C$7</formula1>
    </dataValidation>
    <dataValidation sqref="B5" showDropDown="0" showInputMessage="0" showErrorMessage="1" allowBlank="0" errorTitle="Choose from the list" error="Pick All or a value from the dropdown.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Slicer1"/>
      </x14:slicerList>
    </ext>
  </extLst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8" customWidth="1" min="4" max="4"/>
    <col width="12" customWidth="1" min="5" max="5"/>
    <col width="3" customWidth="1" min="6" max="6"/>
    <col width="18" customWidth="1" min="7" max="7"/>
    <col width="15" customWidth="1" min="8" max="8"/>
    <col width="13" customWidth="1" min="9" max="9"/>
    <col width="10" customWidth="1" min="10" max="10"/>
    <col width="11" customWidth="1" min="11" max="11"/>
    <col width="9" customWidth="1" min="12" max="12"/>
    <col width="3" customWidth="1" min="13" max="13"/>
    <col width="30" customWidth="1" min="14" max="14"/>
    <col width="70" customWidth="1" min="15" max="15"/>
  </cols>
  <sheetData>
    <row r="1">
      <c r="A1" s="37" t="inlineStr">
        <is>
          <t>Dashboard chart summaries, titles and checks (formula-backed; same selection as Dashboard)</t>
        </is>
      </c>
    </row>
    <row r="3">
      <c r="A3" s="38" t="inlineStr">
        <is>
          <t>Status</t>
        </is>
      </c>
      <c r="B3" s="38" t="inlineStr">
        <is>
          <t>Work orders</t>
        </is>
      </c>
      <c r="D3" s="38" t="inlineStr">
        <is>
          <t>Job category</t>
        </is>
      </c>
      <c r="E3" s="38" t="inlineStr">
        <is>
          <t>Work orders</t>
        </is>
      </c>
      <c r="G3" s="38" t="inlineStr">
        <is>
          <t>Site</t>
        </is>
      </c>
      <c r="H3" s="38" t="inlineStr">
        <is>
          <t>Overdue backlog</t>
        </is>
      </c>
      <c r="I3" s="38" t="inlineStr">
        <is>
          <t>Other backlog</t>
        </is>
      </c>
      <c r="J3" s="38" t="inlineStr">
        <is>
          <t>Closed</t>
        </is>
      </c>
      <c r="K3" s="38" t="inlineStr">
        <is>
          <t>Cancelled</t>
        </is>
      </c>
      <c r="L3" s="38" t="inlineStr">
        <is>
          <t>Total</t>
        </is>
      </c>
      <c r="N3" s="38" t="inlineStr">
        <is>
          <t>Item</t>
        </is>
      </c>
      <c r="O3" s="38" t="inlineStr">
        <is>
          <t>Value</t>
        </is>
      </c>
    </row>
    <row r="4">
      <c r="A4" t="inlineStr">
        <is>
          <t>New</t>
        </is>
      </c>
      <c r="B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4))</f>
        <v/>
      </c>
      <c r="D4" t="inlineStr">
        <is>
          <t>Leak Repair</t>
        </is>
      </c>
      <c r="E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4))</f>
        <v/>
      </c>
      <c r="G4" t="inlineStr">
        <is>
          <t>Woodlands Hub</t>
        </is>
      </c>
      <c r="H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4))</f>
        <v/>
      </c>
      <c r="I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4))-H4</f>
        <v/>
      </c>
      <c r="J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4))</f>
        <v/>
      </c>
      <c r="K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4))</f>
        <v/>
      </c>
      <c r="L4">
        <f>SUM(H4:K4)</f>
        <v/>
      </c>
      <c r="N4" t="inlineStr">
        <is>
          <t>Status chart title</t>
        </is>
      </c>
      <c r="O4">
        <f>IF(Dashboard!$B$7=0,"No work orders in the current selection",IF(COUNTIF(B4:B9,MAX(B4:B9))&gt;1,COUNTIF(B4:B9,MAX(B4:B9))&amp;" statuses tie for most work orders ("&amp;MAX(B4:B9)&amp;" each)",INDEX(A4:A9,MATCH(MAX(B4:B9),B4:B9,0))&amp;" is the largest status group ("&amp;MAX(B4:B9)&amp;" of "&amp;Dashboard!$B$7&amp;")"))</f>
        <v/>
      </c>
    </row>
    <row r="5">
      <c r="A5" t="inlineStr">
        <is>
          <t>Assigned</t>
        </is>
      </c>
      <c r="B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5))</f>
        <v/>
      </c>
      <c r="D5" t="inlineStr">
        <is>
          <t>Valve Repair</t>
        </is>
      </c>
      <c r="E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5))</f>
        <v/>
      </c>
      <c r="G5" t="inlineStr">
        <is>
          <t>Jurong Depot</t>
        </is>
      </c>
      <c r="H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5))</f>
        <v/>
      </c>
      <c r="I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5))-H5</f>
        <v/>
      </c>
      <c r="J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5))</f>
        <v/>
      </c>
      <c r="K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5))</f>
        <v/>
      </c>
      <c r="L5">
        <f>SUM(H5:K5)</f>
        <v/>
      </c>
      <c r="N5" t="inlineStr">
        <is>
          <t>Category chart title</t>
        </is>
      </c>
      <c r="O5">
        <f>IF(Dashboard!$B$7=0,"No work orders in the current selection",IF(MAX(E4:E8)=MIN(E4:E8),"All five job categories are level at "&amp;MAX(E4:E8)&amp;" work orders",IF(COUNTIF(E4:E8,MAX(E4:E8))&gt;1,COUNTIF(E4:E8,MAX(E4:E8))&amp;" categories tie for most work orders ("&amp;MAX(E4:E8)&amp;" each)",INDEX(D4:D8,MATCH(MAX(E4:E8),E4:E8,0))&amp;" has the most work orders ("&amp;MAX(E4:E8)&amp;")")))</f>
        <v/>
      </c>
    </row>
    <row r="6">
      <c r="A6" t="inlineStr">
        <is>
          <t>In Progress</t>
        </is>
      </c>
      <c r="B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6))</f>
        <v/>
      </c>
      <c r="D6" t="inlineStr">
        <is>
          <t>Pipe Replacement</t>
        </is>
      </c>
      <c r="E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6))</f>
        <v/>
      </c>
      <c r="G6" t="inlineStr">
        <is>
          <t>Tampines Centre</t>
        </is>
      </c>
      <c r="H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6))</f>
        <v/>
      </c>
      <c r="I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6))-H6</f>
        <v/>
      </c>
      <c r="J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6))</f>
        <v/>
      </c>
      <c r="K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6))</f>
        <v/>
      </c>
      <c r="L6">
        <f>SUM(H6:K6)</f>
        <v/>
      </c>
      <c r="N6" t="inlineStr">
        <is>
          <t>Site chart title</t>
        </is>
      </c>
      <c r="O6">
        <f>IF(H9=0,"No overdue backlog in the current selection",IF(COUNTIF(H4:H8,MAX(H4:H8))&gt;1,COUNTIF(H4:H8,MAX(H4:H8))&amp;" sites tie for most overdue backlog ("&amp;MAX(H4:H8)&amp;" each)",INDEX(G4:G8,MATCH(MAX(H4:H8),H4:H8,0))&amp;" has the most overdue backlog ("&amp;MAX(H4:H8)&amp;" of "&amp;H9&amp;")"))</f>
        <v/>
      </c>
    </row>
    <row r="7">
      <c r="A7" t="inlineStr">
        <is>
          <t>On Hold</t>
        </is>
      </c>
      <c r="B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7))</f>
        <v/>
      </c>
      <c r="D7" t="inlineStr">
        <is>
          <t>Pump Service</t>
        </is>
      </c>
      <c r="E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7))</f>
        <v/>
      </c>
      <c r="G7" t="inlineStr">
        <is>
          <t>Paya Lebar Office</t>
        </is>
      </c>
      <c r="H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7))</f>
        <v/>
      </c>
      <c r="I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7))-H7</f>
        <v/>
      </c>
      <c r="J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7))</f>
        <v/>
      </c>
      <c r="K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7))</f>
        <v/>
      </c>
      <c r="L7">
        <f>SUM(H7:K7)</f>
        <v/>
      </c>
      <c r="N7" t="inlineStr">
        <is>
          <t>Unassigned backlog</t>
        </is>
      </c>
      <c r="O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Assigned_To]=""))</f>
        <v/>
      </c>
    </row>
    <row r="8">
      <c r="A8" t="inlineStr">
        <is>
          <t>Closed</t>
        </is>
      </c>
      <c r="B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8))</f>
        <v/>
      </c>
      <c r="D8" t="inlineStr">
        <is>
          <t>Meter Service</t>
        </is>
      </c>
      <c r="E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8))</f>
        <v/>
      </c>
      <c r="G8" t="inlineStr">
        <is>
          <t>Changi Workshop</t>
        </is>
      </c>
      <c r="H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8))</f>
        <v/>
      </c>
      <c r="I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8))-H8</f>
        <v/>
      </c>
      <c r="J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8))</f>
        <v/>
      </c>
      <c r="K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8))</f>
        <v/>
      </c>
      <c r="L8">
        <f>SUM(H8:K8)</f>
        <v/>
      </c>
      <c r="N8" t="inlineStr">
        <is>
          <t>Closed on or before due date</t>
        </is>
      </c>
      <c r="O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Closed_Date]&lt;=tblWorkOrders[Due_Date]))</f>
        <v/>
      </c>
    </row>
    <row r="9">
      <c r="A9" t="inlineStr">
        <is>
          <t>Cancelled</t>
        </is>
      </c>
      <c r="B9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9))</f>
        <v/>
      </c>
      <c r="D9" s="39" t="inlineStr">
        <is>
          <t>Total</t>
        </is>
      </c>
      <c r="E9" s="39">
        <f>SUM(E4:E8)</f>
        <v/>
      </c>
      <c r="G9" s="39" t="inlineStr">
        <is>
          <t>Total</t>
        </is>
      </c>
      <c r="H9" s="39">
        <f>SUM(H4:H8)</f>
        <v/>
      </c>
      <c r="I9" s="39">
        <f>SUM(I4:I8)</f>
        <v/>
      </c>
      <c r="J9" s="39">
        <f>SUM(J4:J8)</f>
        <v/>
      </c>
      <c r="K9" s="39">
        <f>SUM(K4:K8)</f>
        <v/>
      </c>
      <c r="L9" s="39">
        <f>SUM(L4:L8)</f>
        <v/>
      </c>
      <c r="N9" t="inlineStr">
        <is>
          <t>Baseline view (All, no slicer)</t>
        </is>
      </c>
      <c r="O9">
        <f>AND(Dashboard!$B$2="All",Dashboard!$B$3="All",Dashboard!$B$4="All",Dashboard!$B$5="All",SUBTOTAL(103,tblWorkOrders[Work_Order_ID])=ROWS(tblWorkOrders[Work_Order_ID]))</f>
        <v/>
      </c>
    </row>
    <row r="10">
      <c r="A10" s="39" t="inlineStr">
        <is>
          <t>Total</t>
        </is>
      </c>
      <c r="B10" s="39">
        <f>SUM(B4:B9)</f>
        <v/>
      </c>
      <c r="N10" t="inlineStr">
        <is>
          <t>Charts reconcile to B7</t>
        </is>
      </c>
      <c r="O10">
        <f>AND(B10=Dashboard!$B$7,E9=Dashboard!$B$7,L9=Dashboard!$B$7)</f>
        <v/>
      </c>
    </row>
    <row r="11">
      <c r="N11" t="inlineStr">
        <is>
          <t>Check: total work orders</t>
        </is>
      </c>
      <c r="O11">
        <f>IF(AND(O10,OR(NOT(O9),Dashboard!$B$7=Control!$B$3)),"PASS","REVIEW")</f>
        <v/>
      </c>
    </row>
    <row r="12">
      <c r="N12" t="inlineStr">
        <is>
          <t>Check: backlog</t>
        </is>
      </c>
      <c r="O12">
        <f>IF(AND(Dashboard!$B$7=Dashboard!$B$8+Dashboard!$B$10+B9,OR(NOT(O9),Dashboard!$B$8=Control!$B$6)),"PASS","REVIEW")</f>
        <v/>
      </c>
    </row>
    <row r="13">
      <c r="N13" t="inlineStr">
        <is>
          <t>Check: overdue backlog</t>
        </is>
      </c>
      <c r="O13">
        <f>IF(AND(Dashboard!$B$9&lt;=Dashboard!$B$8,H9=Dashboard!$B$9,OR(NOT(O9),Dashboard!$B$9=Control!$B$7)),"PASS","REVIEW")</f>
        <v/>
      </c>
    </row>
    <row r="14">
      <c r="N14" t="inlineStr">
        <is>
          <t>Check: closed</t>
        </is>
      </c>
      <c r="O14">
        <f>IF(AND(Dashboard!$B$10=B8,OR(NOT(O9),Dashboard!$B$10=Control!$B$4)),"PASS","REVIEW")</f>
        <v/>
      </c>
    </row>
    <row r="15">
      <c r="N15" t="inlineStr">
        <is>
          <t>Check: on-time rate</t>
        </is>
      </c>
      <c r="O15">
        <f>IF(Dashboard!$B$10=0,IF(Dashboard!$B$11="N/A","PASS","REVIEW"),IF(AND(ROUND(O8/Dashboard!$B$10-Dashboard!$B$11,6)=0,OR(NOT(O9),ROUND(Dashboard!$B$11-Control!$B$10,6)=0)),"PASS","REVIEW"))</f>
        <v/>
      </c>
    </row>
    <row r="16">
      <c r="N16" t="inlineStr">
        <is>
          <t>Check: recorded cost</t>
        </is>
      </c>
      <c r="O16">
        <f>IF(AND(ROUND(Dashboard!$B$12-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,tblWorkOrders[Cost_SGD]),2)=0,OR(NOT(O9),ROUND(Dashboard!$B$12-Control!$B$11,2)=0)),"PASS","REVIEW")</f>
        <v/>
      </c>
    </row>
  </sheetData>
  <conditionalFormatting sqref="B10">
    <cfRule type="expression" priority="1" dxfId="1">
      <formula>B10&lt;&gt;Dashboard!$B$7</formula>
    </cfRule>
  </conditionalFormatting>
  <conditionalFormatting sqref="E9">
    <cfRule type="expression" priority="2" dxfId="1">
      <formula>E9&lt;&gt;Dashboard!$B$7</formula>
    </cfRule>
  </conditionalFormatting>
  <conditionalFormatting sqref="L9">
    <cfRule type="expression" priority="3" dxfId="1">
      <formula>L9&lt;&gt;Dashboard!$B$7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2026-10-19T16:24:16Z</dcterms:created>
  <dcterms:modified xmlns:dcterms="http://purl.org/dc/terms/" xmlns:xsi="http://www.w3.org/2001/XMLSchema-instance" xsi:type="dcterms:W3CDTF">2026-10-19T16:24:17Z</dcterms:modified>
</cp:coreProperties>
</file>