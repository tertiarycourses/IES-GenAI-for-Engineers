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s/slicer1.xml" ContentType="application/vnd.ms-excel.slicer+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Dashboard_Summaries" sheetId="9" state="visible" r:id="rId9"/>
    <sheet xmlns:r="http://schemas.openxmlformats.org/officeDocument/2006/relationships" name="Filter_Lists" sheetId="10" state="hidden" r:id="rId10"/>
  </sheets>
  <definedNames>
    <definedName name="Slicer_Site">#N/A</definedName>
    <definedName name="Slicer_Job_Category">#N/A</definedName>
    <definedName name="Slicer_Status">#N/A</definedName>
    <definedName name="Slicer_Assigned_To">#N/A</definedName>
  </definedNames>
  <calcPr calcId="124519" fullCalcOnLoad="1"/>
  <extLst>
    <ext xmlns:x15="http://schemas.microsoft.com/office/spreadsheetml/2010/11/main" uri="{46BE6895-7355-4a93-B00E-2C351335B9C9}">
      <x15:slicerCaches xmlns:x14="http://schemas.microsoft.com/office/spreadsheetml/2009/9/main">
        <x14:slicerCache xmlns:r="http://schemas.openxmlformats.org/officeDocument/2006/relationships" r:id="rIdSlicerCache1"/>
        <x14:slicerCache xmlns:r="http://schemas.openxmlformats.org/officeDocument/2006/relationships" r:id="rIdSlicerCache2"/>
        <x14:slicerCache xmlns:r="http://schemas.openxmlformats.org/officeDocument/2006/relationships" r:id="rIdSlicerCache3"/>
        <x14:slicerCache xmlns:r="http://schemas.openxmlformats.org/officeDocument/2006/relationships" r:id="rIdSlicerCache4"/>
      </x15:slicerCaches>
    </ext>
  </extLst>
</workbook>
</file>

<file path=xl/styles.xml><?xml version="1.0" encoding="utf-8"?>
<styleSheet xmlns="http://schemas.openxmlformats.org/spreadsheetml/2006/main">
  <numFmts count="3">
    <numFmt numFmtId="164" formatCode="yyyy-mm-dd"/>
    <numFmt numFmtId="165" formatCode="0.0%"/>
    <numFmt numFmtId="166" formatCode="&quot;S$&quot;#,##0.00"/>
  </numFmts>
  <fonts count="13">
    <font>
      <name val="Calibri"/>
      <family val="2"/>
      <color theme="1"/>
      <sz val="11"/>
      <scheme val="minor"/>
    </font>
    <font>
      <b val="1"/>
      <color rgb="00FFFFFF"/>
    </font>
    <font>
      <b val="1"/>
      <color rgb="001F4E79"/>
      <sz val="13"/>
    </font>
    <font>
      <b val="1"/>
      <color rgb="001F4E79"/>
    </font>
    <font>
      <b val="1"/>
      <color rgb="001F4E79"/>
      <sz val="20"/>
    </font>
    <font>
      <i val="1"/>
      <color rgb="00404040"/>
      <sz val="11"/>
    </font>
    <font>
      <color rgb="00595959"/>
      <sz val="9"/>
    </font>
    <font>
      <i val="1"/>
      <color rgb="00595959"/>
    </font>
    <font>
      <b val="1"/>
      <color rgb="001F4E79"/>
      <sz val="9"/>
    </font>
    <font>
      <b val="1"/>
      <color rgb="00FFFFFF"/>
      <sz val="12"/>
    </font>
    <font>
      <b val="1"/>
      <color rgb="00FFFFFF"/>
      <sz val="28"/>
    </font>
    <font>
      <color rgb="00FFFFFF"/>
      <sz val="9"/>
    </font>
    <font>
      <b val="1"/>
      <color rgb="00FFFFFF"/>
      <sz val="9"/>
    </font>
  </fonts>
  <fills count="8">
    <fill>
      <patternFill/>
    </fill>
    <fill>
      <patternFill patternType="gray125"/>
    </fill>
    <fill>
      <patternFill patternType="solid">
        <fgColor rgb="001F6FEB"/>
      </patternFill>
    </fill>
    <fill>
      <patternFill patternType="solid">
        <fgColor rgb="001F4E79"/>
      </patternFill>
    </fill>
    <fill>
      <patternFill patternType="solid">
        <fgColor rgb="00F3F6FA"/>
      </patternFill>
    </fill>
    <fill>
      <patternFill patternType="solid">
        <fgColor rgb="00DDEBF7"/>
      </patternFill>
    </fill>
    <fill>
      <patternFill patternType="solid">
        <fgColor rgb="002E75B6"/>
      </patternFill>
    </fill>
    <fill>
      <patternFill patternType="solid">
        <fgColor rgb="002A9D8F"/>
      </patternFill>
    </fill>
  </fills>
  <borders count="4">
    <border>
      <left/>
      <right/>
      <top/>
      <bottom/>
      <diagonal/>
    </border>
    <border>
      <left style="thin">
        <color rgb="002E75B6"/>
      </left>
      <right style="thin">
        <color rgb="002E75B6"/>
      </right>
      <top style="thin">
        <color rgb="002E75B6"/>
      </top>
      <bottom style="thin">
        <color rgb="002E75B6"/>
      </bottom>
    </border>
    <border>
      <bottom style="thin">
        <color rgb="00C9D3E3"/>
      </bottom>
    </border>
    <border>
      <left style="thick">
        <color rgb="00FFFFFF"/>
      </left>
      <right style="thick">
        <color rgb="00FFFFFF"/>
      </right>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4" fillId="0" borderId="0" applyAlignment="1" pivotButton="0" quotePrefix="0" xfId="0">
      <alignment vertical="center"/>
    </xf>
    <xf numFmtId="0" fontId="3" fillId="4" borderId="0" applyAlignment="1" pivotButton="0" quotePrefix="0" xfId="0">
      <alignment vertical="center"/>
    </xf>
    <xf numFmtId="0" fontId="3" fillId="5" borderId="1"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0" fontId="9" fillId="3" borderId="3" applyAlignment="1" pivotButton="0" quotePrefix="0" xfId="0">
      <alignment horizontal="center" vertical="center"/>
    </xf>
    <xf numFmtId="0" fontId="9" fillId="6" borderId="3" applyAlignment="1" pivotButton="0" quotePrefix="0" xfId="0">
      <alignment horizontal="center" vertical="center"/>
    </xf>
    <xf numFmtId="0" fontId="9" fillId="7" borderId="3" applyAlignment="1" pivotButton="0" quotePrefix="0" xfId="0">
      <alignment horizontal="center" vertical="center"/>
    </xf>
    <xf numFmtId="1" fontId="10" fillId="3" borderId="3" applyAlignment="1" pivotButton="0" quotePrefix="0" xfId="0">
      <alignment horizontal="center" vertical="center" shrinkToFit="1"/>
    </xf>
    <xf numFmtId="1" fontId="10" fillId="6" borderId="3" applyAlignment="1" pivotButton="0" quotePrefix="0" xfId="0">
      <alignment horizontal="center" vertical="center" shrinkToFit="1"/>
    </xf>
    <xf numFmtId="1" fontId="10" fillId="7" borderId="3" applyAlignment="1" pivotButton="0" quotePrefix="0" xfId="0">
      <alignment horizontal="center" vertical="center" shrinkToFit="1"/>
    </xf>
    <xf numFmtId="165" fontId="10" fillId="3" borderId="3" applyAlignment="1" pivotButton="0" quotePrefix="0" xfId="0">
      <alignment horizontal="center" vertical="center" shrinkToFit="1"/>
    </xf>
    <xf numFmtId="166" fontId="10" fillId="7" borderId="3" applyAlignment="1" pivotButton="0" quotePrefix="0" xfId="0">
      <alignment horizontal="center" vertical="center" shrinkToFit="1"/>
    </xf>
    <xf numFmtId="0" fontId="1" fillId="3" borderId="0" applyAlignment="1" pivotButton="0" quotePrefix="0" xfId="0">
      <alignment vertical="center"/>
    </xf>
    <xf numFmtId="0" fontId="11" fillId="3" borderId="3" applyAlignment="1" pivotButton="0" quotePrefix="0" xfId="0">
      <alignment horizontal="center" vertical="center" wrapText="1"/>
    </xf>
    <xf numFmtId="0" fontId="11" fillId="6" borderId="3" applyAlignment="1" pivotButton="0" quotePrefix="0" xfId="0">
      <alignment horizontal="center" vertical="center" wrapText="1"/>
    </xf>
    <xf numFmtId="0" fontId="11" fillId="7" borderId="3" applyAlignment="1" pivotButton="0" quotePrefix="0" xfId="0">
      <alignment horizontal="center" vertical="center" wrapText="1"/>
    </xf>
    <xf numFmtId="0" fontId="0" fillId="4" borderId="2" applyAlignment="1" pivotButton="0" quotePrefix="0" xfId="0">
      <alignment vertical="center"/>
    </xf>
    <xf numFmtId="1" fontId="3" fillId="4" borderId="2" applyAlignment="1" pivotButton="0" quotePrefix="0" xfId="0">
      <alignment horizontal="right" vertical="center"/>
    </xf>
    <xf numFmtId="0" fontId="12" fillId="3" borderId="3" applyAlignment="1" pivotButton="0" quotePrefix="0" xfId="0">
      <alignment horizontal="center" vertical="center"/>
    </xf>
    <xf numFmtId="0" fontId="12" fillId="6" borderId="3" applyAlignment="1" pivotButton="0" quotePrefix="0" xfId="0">
      <alignment horizontal="center" vertical="center"/>
    </xf>
    <xf numFmtId="0" fontId="12" fillId="7" borderId="3" applyAlignment="1" pivotButton="0" quotePrefix="0" xfId="0">
      <alignment horizontal="center" vertical="center"/>
    </xf>
    <xf numFmtId="165" fontId="3" fillId="4" borderId="2" applyAlignment="1" pivotButton="0" quotePrefix="0" xfId="0">
      <alignment horizontal="right" vertical="center"/>
    </xf>
    <xf numFmtId="166" fontId="3" fillId="4" borderId="2" applyAlignment="1" pivotButton="0" quotePrefix="0" xfId="0">
      <alignment horizontal="right" vertical="center"/>
    </xf>
    <xf numFmtId="0" fontId="7" fillId="4" borderId="0" applyAlignment="1" pivotButton="0" quotePrefix="0" xfId="0">
      <alignment vertical="center"/>
    </xf>
    <xf numFmtId="0" fontId="7" fillId="4" borderId="0" applyAlignment="1" pivotButton="0" quotePrefix="0" xfId="0">
      <alignment horizontal="right" vertical="center"/>
    </xf>
    <xf numFmtId="0" fontId="8" fillId="0" borderId="0" pivotButton="0" quotePrefix="0" xfId="0"/>
    <xf numFmtId="0" fontId="6" fillId="0" borderId="0" pivotButton="0" quotePrefix="0" xfId="0"/>
    <xf numFmtId="0" fontId="2" fillId="0" borderId="0" pivotButton="0" quotePrefix="0" xfId="0"/>
    <xf numFmtId="0" fontId="1" fillId="3" borderId="0" pivotButton="0" quotePrefix="0" xfId="0"/>
    <xf numFmtId="0" fontId="3" fillId="0" borderId="0" pivotButton="0" quotePrefix="0" xfId="0"/>
  </cellXfs>
  <cellStyles count="1">
    <cellStyle name="Normal" xfId="0" builtinId="0" hidden="0"/>
  </cellStyles>
  <dxfs count="2">
    <dxf>
      <font>
        <b val="1"/>
        <color rgb="00C00000"/>
      </font>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 Id="rIdSlicerCache1" Type="http://schemas.microsoft.com/office/2007/relationships/slicerCache" Target="slicerCaches/slicerCache1.xml"/><Relationship Id="rIdSlicerCache2" Type="http://schemas.microsoft.com/office/2007/relationships/slicerCache" Target="slicerCaches/slicerCache2.xml"/><Relationship Id="rIdSlicerCache3" Type="http://schemas.microsoft.com/office/2007/relationships/slicerCache" Target="slicerCaches/slicerCache3.xml"/><Relationship Id="rIdSlicerCache4" Type="http://schemas.microsoft.com/office/2007/relationships/slicerCache" Target="slicerCaches/slicerCache4.xml"/></Relationships>
</file>

<file path=xl/charts/chart1.xml><?xml version="1.0" encoding="utf-8"?>
<chartSpace xmlns="http://schemas.openxmlformats.org/drawingml/2006/chart">
  <chart>
    <title>
      <tx>
        <strRef>
          <f>'Dashboard_Summaries'!$O$4</f>
          <strCache>
            <ptCount val="1"/>
            <pt idx="0">
              <v>Closed is the largest status group (48 of 120)</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col"/>
        <grouping val="clustered"/>
        <ser>
          <idx val="0"/>
          <order val="0"/>
          <tx>
            <strRef>
              <f>'Dashboard_Summaries'!B3</f>
            </strRef>
          </tx>
          <spPr>
            <a:solidFill xmlns:a="http://schemas.openxmlformats.org/drawingml/2006/main">
              <a:srgbClr val="1F4E79"/>
            </a:solidFill>
            <a:ln xmlns:a="http://schemas.openxmlformats.org/drawingml/2006/main">
              <a:prstDash val="solid"/>
            </a:ln>
          </spPr>
          <cat>
            <numRef>
              <f>'Dashboard_Summaries'!$A$4:$A$9</f>
            </numRef>
          </cat>
          <val>
            <numRef>
              <f>'Dashboard_Summaries'!$B$4:$B$9</f>
            </numRef>
          </val>
        </ser>
        <dLbls>
          <numFmt formatCode="0;;;" sourceLinked="0"/>
          <txPr>
            <a:bodyPr xmlns:a="http://schemas.openxmlformats.org/drawingml/2006/main"/>
            <a:p xmlns:a="http://schemas.openxmlformats.org/drawingml/2006/main">
              <a:pPr>
                <a:defRPr sz="900" b="0">
                  <a:solidFill>
                    <a:srgbClr val="404040"/>
                  </a:solidFill>
                </a:defRPr>
              </a:pPr>
              <a:endParaRPr sz="900" b="0">
                <a:solidFill>
                  <a:srgbClr val="404040"/>
                </a:solidFill>
              </a:endParaRPr>
            </a:p>
          </txPr>
          <showLegendKey val="0"/>
          <showVal val="1"/>
          <showCatName val="0"/>
          <showSerName val="0"/>
          <showPercent val="0"/>
        </dLbls>
        <gapWidth val="5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2.xml><?xml version="1.0" encoding="utf-8"?>
<chartSpace xmlns="http://schemas.openxmlformats.org/drawingml/2006/chart">
  <chart>
    <title>
      <tx>
        <strRef>
          <f>'Dashboard_Summaries'!$O$5</f>
          <strCache>
            <ptCount val="1"/>
            <pt idx="0">
              <v>All five job categories are level at 24 work orders</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bar"/>
        <grouping val="clustered"/>
        <ser>
          <idx val="0"/>
          <order val="0"/>
          <tx>
            <strRef>
              <f>'Dashboard_Summaries'!E3</f>
            </strRef>
          </tx>
          <spPr>
            <a:solidFill xmlns:a="http://schemas.openxmlformats.org/drawingml/2006/main">
              <a:srgbClr val="2E75B6"/>
            </a:solidFill>
            <a:ln xmlns:a="http://schemas.openxmlformats.org/drawingml/2006/main">
              <a:prstDash val="solid"/>
            </a:ln>
          </spPr>
          <cat>
            <numRef>
              <f>'Dashboard_Summaries'!$D$4:$D$8</f>
            </numRef>
          </cat>
          <val>
            <numRef>
              <f>'Dashboard_Summaries'!$E$4:$E$8</f>
            </numRef>
          </val>
        </ser>
        <dLbls>
          <numFmt formatCode="0;;;" sourceLinked="0"/>
          <txPr>
            <a:bodyPr xmlns:a="http://schemas.openxmlformats.org/drawingml/2006/main"/>
            <a:p xmlns:a="http://schemas.openxmlformats.org/drawingml/2006/main">
              <a:pPr>
                <a:defRPr sz="900" b="0">
                  <a:solidFill>
                    <a:srgbClr val="404040"/>
                  </a:solidFill>
                </a:defRPr>
              </a:pPr>
              <a:endParaRPr sz="900" b="0">
                <a:solidFill>
                  <a:srgbClr val="404040"/>
                </a:solidFill>
              </a:endParaRPr>
            </a:p>
          </txPr>
          <showLegendKey val="0"/>
          <showVal val="1"/>
          <showCatName val="0"/>
          <showSerName val="0"/>
          <showPercent val="0"/>
        </dLbls>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chart>
    <title>
      <tx>
        <strRef>
          <f>'Dashboard_Summaries'!$O$6</f>
          <strCache>
            <ptCount val="1"/>
            <pt idx="0">
              <v>Changi Workshop has the most overdue backlog (18 of 50)</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bar"/>
        <grouping val="stacked"/>
        <ser>
          <idx val="0"/>
          <order val="0"/>
          <tx>
            <strRef>
              <f>'Dashboard_Summaries'!H3</f>
            </strRef>
          </tx>
          <spPr>
            <a:solidFill xmlns:a="http://schemas.openxmlformats.org/drawingml/2006/main">
              <a:srgbClr val="1F4E79"/>
            </a:solidFill>
            <a:ln xmlns:a="http://schemas.openxmlformats.org/drawingml/2006/main">
              <a:prstDash val="solid"/>
            </a:ln>
          </spPr>
          <cat>
            <numRef>
              <f>'Dashboard_Summaries'!$G$4:$G$8</f>
            </numRef>
          </cat>
          <val>
            <numRef>
              <f>'Dashboard_Summaries'!$H$4:$H$8</f>
            </numRef>
          </val>
        </ser>
        <ser>
          <idx val="1"/>
          <order val="1"/>
          <tx>
            <strRef>
              <f>'Dashboard_Summaries'!I3</f>
            </strRef>
          </tx>
          <spPr>
            <a:solidFill xmlns:a="http://schemas.openxmlformats.org/drawingml/2006/main">
              <a:srgbClr val="2E75B6"/>
            </a:solidFill>
            <a:ln xmlns:a="http://schemas.openxmlformats.org/drawingml/2006/main">
              <a:prstDash val="solid"/>
            </a:ln>
          </spPr>
          <cat>
            <numRef>
              <f>'Dashboard_Summaries'!$G$4:$G$8</f>
            </numRef>
          </cat>
          <val>
            <numRef>
              <f>'Dashboard_Summaries'!$I$4:$I$8</f>
            </numRef>
          </val>
        </ser>
        <ser>
          <idx val="2"/>
          <order val="2"/>
          <tx>
            <strRef>
              <f>'Dashboard_Summaries'!J3</f>
            </strRef>
          </tx>
          <spPr>
            <a:solidFill xmlns:a="http://schemas.openxmlformats.org/drawingml/2006/main">
              <a:srgbClr val="2A9D8F"/>
            </a:solidFill>
            <a:ln xmlns:a="http://schemas.openxmlformats.org/drawingml/2006/main">
              <a:prstDash val="solid"/>
            </a:ln>
          </spPr>
          <cat>
            <numRef>
              <f>'Dashboard_Summaries'!$G$4:$G$8</f>
            </numRef>
          </cat>
          <val>
            <numRef>
              <f>'Dashboard_Summaries'!$J$4:$J$8</f>
            </numRef>
          </val>
        </ser>
        <ser>
          <idx val="3"/>
          <order val="3"/>
          <tx>
            <strRef>
              <f>'Dashboard_Summaries'!K3</f>
            </strRef>
          </tx>
          <spPr>
            <a:solidFill xmlns:a="http://schemas.openxmlformats.org/drawingml/2006/main">
              <a:srgbClr val="A6A6A6"/>
            </a:solidFill>
            <a:ln xmlns:a="http://schemas.openxmlformats.org/drawingml/2006/main">
              <a:prstDash val="solid"/>
            </a:ln>
          </spPr>
          <cat>
            <numRef>
              <f>'Dashboard_Summaries'!$G$4:$G$8</f>
            </numRef>
          </cat>
          <val>
            <numRef>
              <f>'Dashboard_Summaries'!$K$4:$K$8</f>
            </numRef>
          </val>
        </ser>
        <dLbls>
          <numFmt formatCode="0;;;" sourceLinked="0"/>
          <txPr>
            <a:bodyPr xmlns:a="http://schemas.openxmlformats.org/drawingml/2006/main"/>
            <a:p xmlns:a="http://schemas.openxmlformats.org/drawingml/2006/main">
              <a:pPr>
                <a:defRPr sz="900" b="0">
                  <a:solidFill>
                    <a:srgbClr val="FFFFFF"/>
                  </a:solidFill>
                </a:defRPr>
              </a:pPr>
              <a:endParaRPr sz="900" b="0">
                <a:solidFill>
                  <a:srgbClr val="FFFFFF"/>
                </a:solidFill>
              </a:endParaRPr>
            </a:p>
          </txPr>
          <showLegendKey val="0"/>
          <showVal val="1"/>
          <showCatName val="0"/>
          <showSerName val="0"/>
          <showPercent val="0"/>
        </dLbls>
        <gapWidth val="5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legend>
      <legendPos val="b"/>
      <txPr>
        <a:bodyPr xmlns:a="http://schemas.openxmlformats.org/drawingml/2006/main"/>
        <a:p xmlns:a="http://schemas.openxmlformats.org/drawingml/2006/main">
          <a:pPr>
            <a:defRPr sz="900" b="0">
              <a:solidFill>
                <a:srgbClr val="404040"/>
              </a:solidFill>
            </a:defRPr>
          </a:pPr>
          <a:endParaRPr sz="900" b="0">
            <a:solidFill>
              <a:srgbClr val="404040"/>
            </a:solidFill>
          </a:endParaRP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a="http://schemas.openxmlformats.org/drawingml/2006/main" xmlns="http://schemas.openxmlformats.org/drawingml/2006/spreadsheetDrawing" xmlns:xdr="http://schemas.openxmlformats.org/drawingml/2006/spreadsheetDrawing">
  <oneCellAnchor>
    <from>
      <col>3</col>
      <colOff>0</colOff>
      <row>8</row>
      <rowOff>0</rowOff>
    </from>
    <ext cx="4942857"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8</row>
      <rowOff>0</rowOff>
    </from>
    <ext cx="4942857"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25</row>
      <rowOff>0</rowOff>
    </from>
    <ext cx="9885714" cy="30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xdr:twoCellAnchor editAs="oneCell">
    <xdr:from>
      <xdr:col>10</xdr:col>
      <xdr:colOff>38100</xdr:colOff>
      <xdr:row>3</xdr:row>
      <xdr:rowOff>0</xdr:rowOff>
    </xdr:from>
    <xdr:to>
      <xdr:col>10</xdr:col>
      <xdr:colOff>2038350</xdr:colOff>
      <xdr:row>6</xdr:row>
      <xdr:rowOff>66675</xdr:rowOff>
    </xdr:to>
    <mc:AlternateContent xmlns:mc="http://schemas.openxmlformats.org/markup-compatibility/2006">
      <mc:Choice xmlns:sle15="http://schemas.microsoft.com/office/drawing/2012/slicer" Requires="sle15">
        <xdr:graphicFrame macro="">
          <xdr:nvGraphicFramePr>
            <xdr:cNvPr id="100" name="Site"/>
            <xdr:cNvGraphicFramePr/>
          </xdr:nvGraphicFramePr>
          <xdr:xfrm>
            <a:off x="0" y="0"/>
            <a:ext cx="0" cy="0"/>
          </xdr:xfrm>
          <a:graphic>
            <a:graphicData uri="http://schemas.microsoft.com/office/drawing/2010/slicer">
              <sle:slicer xmlns:sle="http://schemas.microsoft.com/office/drawing/2010/slicer" name="Site"/>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6</xdr:row>
      <xdr:rowOff>161925</xdr:rowOff>
    </xdr:from>
    <xdr:to>
      <xdr:col>10</xdr:col>
      <xdr:colOff>2038350</xdr:colOff>
      <xdr:row>14</xdr:row>
      <xdr:rowOff>142875</xdr:rowOff>
    </xdr:to>
    <mc:AlternateContent xmlns:mc="http://schemas.openxmlformats.org/markup-compatibility/2006">
      <mc:Choice xmlns:sle15="http://schemas.microsoft.com/office/drawing/2012/slicer" Requires="sle15">
        <xdr:graphicFrame macro="">
          <xdr:nvGraphicFramePr>
            <xdr:cNvPr id="101" name="Job_Category"/>
            <xdr:cNvGraphicFramePr/>
          </xdr:nvGraphicFramePr>
          <xdr:xfrm>
            <a:off x="0" y="0"/>
            <a:ext cx="0" cy="0"/>
          </xdr:xfrm>
          <a:graphic>
            <a:graphicData uri="http://schemas.microsoft.com/office/drawing/2010/slicer">
              <sle:slicer xmlns:sle="http://schemas.microsoft.com/office/drawing/2010/slicer" name="Job_Category"/>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15</xdr:row>
      <xdr:rowOff>47625</xdr:rowOff>
    </xdr:from>
    <xdr:to>
      <xdr:col>10</xdr:col>
      <xdr:colOff>2038350</xdr:colOff>
      <xdr:row>21</xdr:row>
      <xdr:rowOff>28575</xdr:rowOff>
    </xdr:to>
    <mc:AlternateContent xmlns:mc="http://schemas.openxmlformats.org/markup-compatibility/2006">
      <mc:Choice xmlns:sle15="http://schemas.microsoft.com/office/drawing/2012/slicer" Requires="sle15">
        <xdr:graphicFrame macro="">
          <xdr:nvGraphicFramePr>
            <xdr:cNvPr id="102"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21</xdr:row>
      <xdr:rowOff>123825</xdr:rowOff>
    </xdr:from>
    <xdr:to>
      <xdr:col>10</xdr:col>
      <xdr:colOff>2038350</xdr:colOff>
      <xdr:row>29</xdr:row>
      <xdr:rowOff>142875</xdr:rowOff>
    </xdr:to>
    <mc:AlternateContent xmlns:mc="http://schemas.openxmlformats.org/markup-compatibility/2006">
      <mc:Choice xmlns:sle15="http://schemas.microsoft.com/office/drawing/2012/slicer" Requires="sle15">
        <xdr:graphicFrame macro="">
          <xdr:nvGraphicFramePr>
            <xdr:cNvPr id="103" name="Assigned_To"/>
            <xdr:cNvGraphicFramePr/>
          </xdr:nvGraphicFramePr>
          <xdr:xfrm>
            <a:off x="0" y="0"/>
            <a:ext cx="0" cy="0"/>
          </xdr:xfrm>
          <a:graphic>
            <a:graphicData uri="http://schemas.microsoft.com/office/drawing/2010/slicer">
              <sle:slicer xmlns:sle="http://schemas.microsoft.com/office/drawing/2010/slicer" name="Assigned_To"/>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te" sourceName="Sit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_Category" sourceName="Job_Category">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ssigned_To" sourceName="Assigned_To">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te" cache="Slicer_Site" caption="Site" columnCount="1" style="SlicerStyleLight1" rowHeight="225425"/>
  <slicer name="Job_Category" cache="Slicer_Job_Category" caption="Job Category" columnCount="1" style="SlicerStyleLight1" rowHeight="225425"/>
  <slicer name="Status" cache="Slicer_Status" caption="Status" columnCount="2" style="SlicerStyleLight1" rowHeight="225425"/>
  <slicer name="Assigned_To" cache="Slicer_Assigned_To" caption="Assigned To" columnCount="2" style="SlicerStyleLight1" rowHeight="225425"/>
</slicer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 Id="rIdSlicer1" Type="http://schemas.microsoft.com/office/2007/relationships/slicer" Target="../slicers/slicer1.xml"/></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6"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6" t="n">
        <v>46290</v>
      </c>
      <c r="H2" s="6" t="n">
        <v>46297</v>
      </c>
      <c r="I2" s="6"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6" t="n">
        <v>46289</v>
      </c>
      <c r="H3" s="6" t="n">
        <v>46297</v>
      </c>
      <c r="I3" s="6"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6" t="n">
        <v>46288</v>
      </c>
      <c r="H4" s="6"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6" t="n">
        <v>46287</v>
      </c>
      <c r="H5" s="6"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6" t="n">
        <v>46286</v>
      </c>
      <c r="H6" s="6"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6" t="n">
        <v>46285</v>
      </c>
      <c r="H7" s="6" t="n">
        <v>46297</v>
      </c>
      <c r="I7" s="6"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6" t="n">
        <v>46284</v>
      </c>
      <c r="H8" s="6" t="n">
        <v>46297</v>
      </c>
      <c r="I8" s="6"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6" t="n">
        <v>46283</v>
      </c>
      <c r="H9" s="6"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6" t="n">
        <v>46282</v>
      </c>
      <c r="H10" s="6"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6" t="n">
        <v>46281</v>
      </c>
      <c r="H11" s="6"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6" t="n">
        <v>46280</v>
      </c>
      <c r="H12" s="6" t="n">
        <v>46287</v>
      </c>
      <c r="I12" s="6"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n"/>
      <c r="G14" s="6" t="n">
        <v>46278</v>
      </c>
      <c r="H14" s="6"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6" t="n">
        <v>46277</v>
      </c>
      <c r="H15" s="6"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6" t="n">
        <v>46276</v>
      </c>
      <c r="H16" s="6"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6" t="n">
        <v>46274</v>
      </c>
      <c r="H18" s="6" t="n">
        <v>46287</v>
      </c>
      <c r="I18" s="6"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6" t="n">
        <v>46273</v>
      </c>
      <c r="H19" s="6"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6" t="n">
        <v>46272</v>
      </c>
      <c r="H20" s="6"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6" t="n">
        <v>46271</v>
      </c>
      <c r="H21" s="6"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6" t="n">
        <v>46270</v>
      </c>
      <c r="H22" s="6" t="n">
        <v>46277</v>
      </c>
      <c r="I22" s="6"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6" t="n">
        <v>46268</v>
      </c>
      <c r="H24" s="6"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6" t="n">
        <v>46267</v>
      </c>
      <c r="H25" s="6"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n"/>
      <c r="G26" s="6" t="n">
        <v>46266</v>
      </c>
      <c r="H26" s="6"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6" t="n">
        <v>46265</v>
      </c>
      <c r="H27" s="6" t="n">
        <v>46277</v>
      </c>
      <c r="I27" s="6"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6" t="n">
        <v>46264</v>
      </c>
      <c r="H28" s="6" t="n">
        <v>46277</v>
      </c>
      <c r="I28" s="6"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6" t="n">
        <v>46263</v>
      </c>
      <c r="H29" s="6"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6" t="n">
        <v>46262</v>
      </c>
      <c r="H30" s="6"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6" t="n">
        <v>46261</v>
      </c>
      <c r="H31" s="6"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6" t="n">
        <v>46260</v>
      </c>
      <c r="H32" s="6" t="n">
        <v>46267</v>
      </c>
      <c r="I32" s="6"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6" t="n">
        <v>46258</v>
      </c>
      <c r="H34" s="6"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6" t="n">
        <v>46257</v>
      </c>
      <c r="H35" s="6"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6" t="n">
        <v>46256</v>
      </c>
      <c r="H36" s="6"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6" t="n">
        <v>46254</v>
      </c>
      <c r="H38" s="6" t="n">
        <v>46267</v>
      </c>
      <c r="I38" s="6"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6" t="n">
        <v>46253</v>
      </c>
      <c r="H39" s="6"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6" t="n">
        <v>46252</v>
      </c>
      <c r="H40" s="6"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6" t="n">
        <v>46251</v>
      </c>
      <c r="H41" s="6"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6" t="n">
        <v>46250</v>
      </c>
      <c r="H42" s="6" t="n">
        <v>46257</v>
      </c>
      <c r="I42" s="6"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6" t="n">
        <v>46249</v>
      </c>
      <c r="H43" s="6" t="n">
        <v>46257</v>
      </c>
      <c r="I43" s="6"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6" t="n">
        <v>46248</v>
      </c>
      <c r="H44" s="6"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6" t="n">
        <v>46247</v>
      </c>
      <c r="H45" s="6"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6" t="n">
        <v>46246</v>
      </c>
      <c r="H46" s="6"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6" t="n">
        <v>46244</v>
      </c>
      <c r="H48" s="6" t="n">
        <v>46257</v>
      </c>
      <c r="I48" s="6"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6" t="n">
        <v>46243</v>
      </c>
      <c r="H49" s="6"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n"/>
      <c r="G50" s="6" t="n">
        <v>46242</v>
      </c>
      <c r="H50" s="6"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6" t="n">
        <v>46241</v>
      </c>
      <c r="H51" s="6"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6" t="n">
        <v>46240</v>
      </c>
      <c r="H52" s="6" t="n">
        <v>46247</v>
      </c>
      <c r="I52" s="6"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6" t="n">
        <v>46238</v>
      </c>
      <c r="H54" s="6"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6" t="n">
        <v>46237</v>
      </c>
      <c r="H55" s="6"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6" t="n">
        <v>46236</v>
      </c>
      <c r="H56" s="6"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6" t="n">
        <v>46234</v>
      </c>
      <c r="H58" s="6" t="n">
        <v>46247</v>
      </c>
      <c r="I58" s="6"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6" t="n">
        <v>46233</v>
      </c>
      <c r="H59" s="6"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6" t="n">
        <v>46232</v>
      </c>
      <c r="H60" s="6"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6" t="n">
        <v>46231</v>
      </c>
      <c r="H61" s="6"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6" t="n">
        <v>46230</v>
      </c>
      <c r="H62" s="6" t="n">
        <v>46237</v>
      </c>
      <c r="I62" s="6"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6" t="n">
        <v>46228</v>
      </c>
      <c r="H64" s="6"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6" t="n">
        <v>46227</v>
      </c>
      <c r="H65" s="6"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6" t="n">
        <v>46226</v>
      </c>
      <c r="H66" s="6"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6" t="n">
        <v>46225</v>
      </c>
      <c r="H67" s="6" t="n">
        <v>46237</v>
      </c>
      <c r="I67" s="6"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6" t="n">
        <v>46224</v>
      </c>
      <c r="H68" s="6" t="n">
        <v>46237</v>
      </c>
      <c r="I68" s="6"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6" t="n">
        <v>46223</v>
      </c>
      <c r="H69" s="6"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6" t="n">
        <v>46222</v>
      </c>
      <c r="H70" s="6"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6" t="n">
        <v>46221</v>
      </c>
      <c r="H71" s="6"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6" t="n">
        <v>46220</v>
      </c>
      <c r="H72" s="6" t="n">
        <v>46227</v>
      </c>
      <c r="I72" s="6"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n"/>
      <c r="G74" s="6" t="n">
        <v>46218</v>
      </c>
      <c r="H74" s="6"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6" t="n">
        <v>46217</v>
      </c>
      <c r="H75" s="6"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6" t="n">
        <v>46216</v>
      </c>
      <c r="H76" s="6"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6" t="n">
        <v>46214</v>
      </c>
      <c r="H78" s="6" t="n">
        <v>46227</v>
      </c>
      <c r="I78" s="6"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6" t="n">
        <v>46213</v>
      </c>
      <c r="H79" s="6"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6" t="n">
        <v>46212</v>
      </c>
      <c r="H80" s="6"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6" t="n">
        <v>46211</v>
      </c>
      <c r="H81" s="6"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6" t="n">
        <v>46290</v>
      </c>
      <c r="H82" s="6" t="n">
        <v>46297</v>
      </c>
      <c r="I82" s="6"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6" t="n">
        <v>46289</v>
      </c>
      <c r="H83" s="6" t="n">
        <v>46297</v>
      </c>
      <c r="I83" s="6"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6" t="n">
        <v>46288</v>
      </c>
      <c r="H84" s="6"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6" t="n">
        <v>46287</v>
      </c>
      <c r="H85" s="6"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n"/>
      <c r="G86" s="6" t="n">
        <v>46286</v>
      </c>
      <c r="H86" s="6"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6" t="n">
        <v>46284</v>
      </c>
      <c r="H88" s="6" t="n">
        <v>46297</v>
      </c>
      <c r="I88" s="6"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6" t="n">
        <v>46283</v>
      </c>
      <c r="H89" s="6"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6" t="n">
        <v>46282</v>
      </c>
      <c r="H90" s="6"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6" t="n">
        <v>46281</v>
      </c>
      <c r="H91" s="6"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6" t="n">
        <v>46280</v>
      </c>
      <c r="H92" s="6" t="n">
        <v>46287</v>
      </c>
      <c r="I92" s="6"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6" t="n">
        <v>46279</v>
      </c>
      <c r="H93" s="6" t="n">
        <v>46287</v>
      </c>
      <c r="I93" s="6"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6" t="n">
        <v>46278</v>
      </c>
      <c r="H94" s="6"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6" t="n">
        <v>46277</v>
      </c>
      <c r="H95" s="6"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6" t="n">
        <v>46276</v>
      </c>
      <c r="H96" s="6"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6" t="n">
        <v>46274</v>
      </c>
      <c r="H98" s="6" t="n">
        <v>46287</v>
      </c>
      <c r="I98" s="6"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6" t="n">
        <v>46273</v>
      </c>
      <c r="H99" s="6"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6" t="n">
        <v>46266</v>
      </c>
      <c r="H106" s="6"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n"/>
      <c r="G110" s="6" t="n">
        <v>46262</v>
      </c>
      <c r="H110" s="6"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6" t="n">
        <v>46258</v>
      </c>
      <c r="H114" s="6"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6" t="n">
        <v>46257</v>
      </c>
      <c r="H115" s="6"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@water-service-dashboard Before testing filters, report the baseline Northstar Water Services dashboard source, date and scope. Confirm 120 unique work orders and all four selectors All. Identify the baseline file that must remain untouched when making the refresh-test copy.</t>
        </is>
      </c>
    </row>
    <row r="3">
      <c r="A3" s="2" t="inlineStr">
        <is>
          <t>Step 2</t>
        </is>
      </c>
      <c r="B3" s="2" t="inlineStr">
        <is>
          <t>EXCEL - PLAN</t>
        </is>
      </c>
      <c r="C3" s="2" t="inlineStr">
        <is>
          <t>EXCEL - PLAN:
@water-service-dashboard Make Dashboard B2:B5 control all six KPIs and three chart summaries with AND logic. All bypasses its dimension. Use COUNTIFS/SUMIFS or SUMPRODUCT with structured table references. Blank owner means unassigned and must not disappear from All. Keep N/A for no closed jobs.
EXCEL - ALLOW EDITING:
@water-service-dashboard Apply the reviewed filter plan and dropdown lists. Keep existing source rows and chart positions. Show the selected scope beside the reporting date and make all charts recalculate from the same selected rows.</t>
        </is>
      </c>
    </row>
    <row r="4">
      <c r="A4" s="2" t="inlineStr">
        <is>
          <t>Step 3</t>
        </is>
      </c>
      <c r="B4" s="2" t="inlineStr">
        <is>
          <t>EXCEL - CHAT ONLY</t>
        </is>
      </c>
      <c r="C4" s="2" t="inlineStr">
        <is>
          <t>EXCEL - CHAT ONLY:
@water-service-dashboard For the dashboard selection Site = Woodlands Hub and all other dimensions All, list the expected six KPI values from tblWorkOrders and verify each chart sum matches the selected total. Do not infer that filtering the worksheet automatically changes formula measures.</t>
        </is>
      </c>
    </row>
    <row r="5">
      <c r="A5" s="2" t="inlineStr">
        <is>
          <t>Step 4</t>
        </is>
      </c>
      <c r="B5" s="2" t="inlineStr">
        <is>
          <t>EXCEL - CHAT ONLY</t>
        </is>
      </c>
      <c r="C5" s="2" t="inlineStr">
        <is>
          <t>EXCEL - CHAT ONLY:
@water-service-dashboard Check two dashboard edge cases without changing source data: Status New with other selectors All; then Site Woodlands Hub, Job_Category Leak Repair, Assigned_To Daniel Lee, Status All. Verify zero closed gives N/A and no selected rows gives zero count/cost with N/A rate. Show how all charts follow the same selection. Restore all selectors to All.</t>
        </is>
      </c>
    </row>
    <row r="6">
      <c r="A6" s="2" t="inlineStr">
        <is>
          <t>Step 6</t>
        </is>
      </c>
      <c r="B6" s="2" t="inlineStr">
        <is>
          <t>EXCEL - CHAT ONLY</t>
        </is>
      </c>
      <c r="C6" s="2" t="inlineStr">
        <is>
          <t>EXCEL - CHAT ONLY:
@water-service-dashboard Verify the sandbox append test for the two new work orders. Reconcile total 122, closed 49, backlog 61, overdue increased by 1, cost increased by S$400 and on-time numerator increased by 1. Confirm no original source record changed and all three charts total 122 with All selections. Compare original IDs, statuses, owners, dates and costs to the saved baseline; all original 120 rows must match.</t>
        </is>
      </c>
    </row>
    <row r="7">
      <c r="A7" s="2" t="inlineStr">
        <is>
          <t>Step 7</t>
        </is>
      </c>
      <c r="B7" s="2" t="inlineStr">
        <is>
          <t>EXCEL - PLAN</t>
        </is>
      </c>
      <c r="C7" s="2" t="inlineStr">
        <is>
          <t>EXCEL - PLAN:
@water-service-dashboard Refresh the existing dashboard for the sandbox 122-row table and same reporting date. Preserve all original source records, both new rows, .Rules, Pareto_* and unrelated sheets. Identify named output replacements and ask before editing; keep one dashboard and three charts.
EXCEL - ALLOW EDITING:
@water-service-dashboard Apply only the reviewed sandbox dashboard rerun. Retain the chosen source/date and make every KPI and chart follow the four filters; reconcile 122 total,61 backlog,51 overdue,49 Closed,31/49 on-time and S$36,227.50. Do not alter the untouched baseline workbook.</t>
        </is>
      </c>
    </row>
    <row r="8">
      <c r="A8" s="2" t="inlineStr">
        <is>
          <t>Step 8</t>
        </is>
      </c>
      <c r="B8" s="2" t="inlineStr">
        <is>
          <t>WORD COPILOT</t>
        </is>
      </c>
      <c r="C8" s="2" t="inlineStr">
        <is>
          <t>WORD COPILOT:
Using only the verified baseline dashboard evidence I paste here, prepare the frozen Northstar Water Services presentation snapshot. Include reporting date, All scope, 120-row baseline, six KPIs, chart values, source workbook link and limitations. Exclude the 122-row sandbox. Keep proposed priorities separate from observed facts.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Work_Orders, tblWorkOrders, Technicians, current Assigned_To values and source IDs.</t>
        </is>
      </c>
    </row>
    <row r="3">
      <c r="A3" s="2" t="inlineStr">
        <is>
          <t>Use the reporting date from Control!B2. State the selected Site, Job_Category,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DASHBOARD LAYOUT</t>
        </is>
      </c>
    </row>
    <row r="10">
      <c r="A10" s="2" t="inlineStr">
        <is>
          <t>Dashboard sheet: title in A1; Site, Job_Category, Status and Assigned_To dropdowns in B2:B5 (All plus source values); the six measures in B7:B12; data-as-at date and selected scope in D2.</t>
        </is>
      </c>
    </row>
    <row r="11">
      <c r="A11" s="2" t="inlineStr">
        <is>
          <t>Six KPI tiles in D4:I7, one column per tile: title in row 4, large value in row 5, short definition in row 6 and "Checks: PASS" in row 7.</t>
        </is>
      </c>
    </row>
    <row r="12">
      <c r="A12" s="2" t="inlineStr">
        <is>
          <t>Charts in a grid below the tiles: work orders by status and by job category side by side, then a full-width stacked bar by site (overdue backlog, other backlog, Closed, Cancelled).</t>
        </is>
      </c>
    </row>
    <row r="13">
      <c r="A13" s="2" t="inlineStr">
        <is>
          <t>Slicers for Site, Job_Category, Status and Assigned_To on the right of the tiles, connected to tblWorkOrders. KPI formulas use SUBTOTAL visibility so slicers and dropdowns both filter every tile and chart.</t>
        </is>
      </c>
    </row>
    <row r="14">
      <c r="A14" s="2" t="inlineStr">
        <is>
          <t>Put chart summaries, chart-title formulas and KPI checks on Dashboard_Summaries. Never merge cells. Hide gridlines on Dashboard.</t>
        </is>
      </c>
    </row>
    <row r="15">
      <c r="A15" s="2" t="inlineStr">
        <is>
          <t>## DASHBOARD STYLE</t>
        </is>
      </c>
    </row>
    <row r="16">
      <c r="A16" s="2" t="inlineStr">
        <is>
          <t>Tiles: white bold text on solid navy #1F4E79 (totals and rates), blue #2E75B6 (backlog, overdue) or teal #2A9D8F (Closed, cost).</t>
        </is>
      </c>
    </row>
    <row r="17">
      <c r="A17" s="2" t="inlineStr">
        <is>
          <t>Every chart title states the finding from a cell formula, e.g. "Changi Workshop has the most overdue backlog (18 of 50)".</t>
        </is>
      </c>
    </row>
    <row r="18">
      <c r="A18" s="2" t="inlineStr">
        <is>
          <t>Show data labels on bars; no gridlines; rates as % with one decimal. Each chart total must equal B7.</t>
        </is>
      </c>
    </row>
    <row r="19">
      <c r="A19" s="2" t="inlineStr">
        <is>
          <t>## OUTPUT AND REVIEW</t>
        </is>
      </c>
    </row>
    <row r="20">
      <c r="A20" s="2" t="inlineStr">
        <is>
          <t>Use structured table references. Preserve the visible .Rules sheet and unrelated sheets, charts and Prompt_Log.</t>
        </is>
      </c>
    </row>
    <row r="21">
      <c r="A21" s="2" t="inlineStr">
        <is>
          <t>Keep current owners separate from unapproved assignment proposals. Missing facts and approvals remain UNKNOWN.</t>
        </is>
      </c>
    </row>
    <row r="22">
      <c r="A22" s="2" t="inlineStr">
        <is>
          <t>Ask before replacing named output sheets. Reconcile every count, rate and chart against source rows; do not duplicate outputs on rerun.</t>
        </is>
      </c>
    </row>
    <row r="23">
      <c r="A2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showGridLines="0" zoomScale="85" workbookViewId="0">
      <selection activeCell="A1" sqref="A1"/>
    </sheetView>
  </sheetViews>
  <sheetFormatPr baseColWidth="8" defaultRowHeight="15"/>
  <cols>
    <col width="19" customWidth="1" min="1" max="1"/>
    <col width="17" customWidth="1" min="2" max="2"/>
    <col width="2" customWidth="1" min="3" max="3"/>
    <col width="24" customWidth="1" min="4" max="4"/>
    <col width="24" customWidth="1" min="5" max="5"/>
    <col width="24" customWidth="1" min="6" max="6"/>
    <col width="24" customWidth="1" min="7" max="7"/>
    <col width="24" customWidth="1" min="8" max="8"/>
    <col width="24" customWidth="1" min="9" max="9"/>
    <col width="2" customWidth="1" min="10" max="10"/>
    <col width="31" customWidth="1" min="11" max="11"/>
  </cols>
  <sheetData>
    <row r="1" ht="34" customHeight="1">
      <c r="A1" s="9">
        <f>"Northstar Maintenance Dashboard — Q3 work orders to "&amp;TEXT(Control!$B$2,"dd-mmm-yyyy")</f>
        <v/>
      </c>
    </row>
    <row r="2" ht="20" customHeight="1">
      <c r="A2" s="10" t="inlineStr">
        <is>
          <t>Site</t>
        </is>
      </c>
      <c r="B2" s="11" t="inlineStr">
        <is>
          <t>All</t>
        </is>
      </c>
      <c r="D2" s="12">
        <f>"Data as at "&amp;TEXT(Control!$B$2,"yyyy-mm-dd")&amp;"   ·   Site: "&amp;$B$2&amp;"  ·  Category: "&amp;$B$3&amp;"  ·  Status: "&amp;$B$4&amp;"  ·  Owner: "&amp;$B$5</f>
        <v/>
      </c>
    </row>
    <row r="3" ht="18" customHeight="1">
      <c r="A3" s="10" t="inlineStr">
        <is>
          <t>Job_Category</t>
        </is>
      </c>
      <c r="B3" s="11" t="inlineStr">
        <is>
          <t>All</t>
        </is>
      </c>
      <c r="D3" s="13">
        <f>IF(SUBTOTAL(103,tblWorkOrders[Work_Order_ID])&lt;ROWS(tblWorkOrders[Work_Order_ID]),"⚠ Slicer filter active: "&amp;SUBTOTAL(103,tblWorkOrders[Work_Order_ID])&amp;" of "&amp;ROWS(tblWorkOrders[Work_Order_ID])&amp;" source rows included. Clear the slicers for the full baseline.","All "&amp;ROWS(tblWorkOrders[Work_Order_ID])&amp;" source rows available (no slicer filter).")</f>
        <v/>
      </c>
    </row>
    <row r="4" ht="26" customHeight="1">
      <c r="A4" s="10" t="inlineStr">
        <is>
          <t>Status</t>
        </is>
      </c>
      <c r="B4" s="11" t="inlineStr">
        <is>
          <t>All</t>
        </is>
      </c>
      <c r="D4" s="14" t="inlineStr">
        <is>
          <t>Total work orders</t>
        </is>
      </c>
      <c r="E4" s="15" t="inlineStr">
        <is>
          <t>Backlog</t>
        </is>
      </c>
      <c r="F4" s="15" t="inlineStr">
        <is>
          <t>Overdue backlog</t>
        </is>
      </c>
      <c r="G4" s="16" t="inlineStr">
        <is>
          <t>Closed</t>
        </is>
      </c>
      <c r="H4" s="14" t="inlineStr">
        <is>
          <t>On-time closure rate</t>
        </is>
      </c>
      <c r="I4" s="16" t="inlineStr">
        <is>
          <t>Recorded cost</t>
        </is>
      </c>
    </row>
    <row r="5" ht="50" customHeight="1">
      <c r="A5" s="10" t="inlineStr">
        <is>
          <t>Assigned_To</t>
        </is>
      </c>
      <c r="B5" s="11" t="inlineStr">
        <is>
          <t>All</t>
        </is>
      </c>
      <c r="D5" s="17">
        <f>B7</f>
        <v/>
      </c>
      <c r="E5" s="18">
        <f>B8</f>
        <v/>
      </c>
      <c r="F5" s="18">
        <f>B9</f>
        <v/>
      </c>
      <c r="G5" s="19">
        <f>B10</f>
        <v/>
      </c>
      <c r="H5" s="20">
        <f>B11</f>
        <v/>
      </c>
      <c r="I5" s="21">
        <f>B12</f>
        <v/>
      </c>
    </row>
    <row r="6" ht="38" customHeight="1">
      <c r="A6" s="22" t="inlineStr">
        <is>
          <t>Measure</t>
        </is>
      </c>
      <c r="B6" s="22" t="inlineStr">
        <is>
          <t>Current selection</t>
        </is>
      </c>
      <c r="D6" s="23">
        <f>"Selected of "&amp;ROWS(tblWorkOrders[Work_Order_ID])&amp;" rows in tblWorkOrders"</f>
        <v/>
      </c>
      <c r="E6" s="24">
        <f>IF(B7=0,"No rows selected",TEXT(B8/B7,"0%")&amp;" of selection; "&amp;Dashboard_Summaries!O7&amp;" unassigned")</f>
        <v/>
      </c>
      <c r="F6" s="24">
        <f>"Backlog due before "&amp;TEXT(Control!$B$2,"dd-mmm-yyyy")</f>
        <v/>
      </c>
      <c r="G6" s="25">
        <f>"Cancelled in selection: "&amp;Dashboard_Summaries!B9</f>
        <v/>
      </c>
      <c r="H6" s="23">
        <f>IF(B10=0,"No closed jobs in selection",Dashboard_Summaries!O8&amp;" of "&amp;B10&amp;" closed by due date")</f>
        <v/>
      </c>
      <c r="I6" s="25">
        <f>"Cost_SGD, all statuses; not a budget"</f>
        <v/>
      </c>
    </row>
    <row r="7" ht="22" customHeight="1">
      <c r="A7" s="26" t="inlineStr">
        <is>
          <t>Total work orders</t>
        </is>
      </c>
      <c r="B7"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f>
        <v/>
      </c>
      <c r="D7" s="28">
        <f>"Checks: "&amp;Dashboard_Summaries!O11</f>
        <v/>
      </c>
      <c r="E7" s="29">
        <f>"Checks: "&amp;Dashboard_Summaries!O12</f>
        <v/>
      </c>
      <c r="F7" s="29">
        <f>"Checks: "&amp;Dashboard_Summaries!O13</f>
        <v/>
      </c>
      <c r="G7" s="30">
        <f>"Checks: "&amp;Dashboard_Summaries!O14</f>
        <v/>
      </c>
      <c r="H7" s="28">
        <f>"Checks: "&amp;Dashboard_Summaries!O15</f>
        <v/>
      </c>
      <c r="I7" s="30">
        <f>"Checks: "&amp;Dashboard_Summaries!O16</f>
        <v/>
      </c>
    </row>
    <row r="8" ht="10" customHeight="1">
      <c r="A8" s="26" t="inlineStr">
        <is>
          <t>Backlog</t>
        </is>
      </c>
      <c r="B8"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lt;&gt;"Closed")*(tblWorkOrders[Status]&lt;&gt;"Cancelled"))</f>
        <v/>
      </c>
    </row>
    <row r="9">
      <c r="A9" s="26" t="inlineStr">
        <is>
          <t>Overdue backlog</t>
        </is>
      </c>
      <c r="B9"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lt;&gt;"Closed")*(tblWorkOrders[Status]&lt;&gt;"Cancelled")*(tblWorkOrders[Due_Date]&lt;Control!$B$2))</f>
        <v/>
      </c>
    </row>
    <row r="10">
      <c r="A10" s="26" t="inlineStr">
        <is>
          <t>Closed</t>
        </is>
      </c>
      <c r="B10"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Closed"))</f>
        <v/>
      </c>
    </row>
    <row r="11">
      <c r="A11" s="26" t="inlineStr">
        <is>
          <t>On-time closure rate</t>
        </is>
      </c>
      <c r="B11" s="31">
        <f>IF(B10=0,"N/A",Dashboard_Summaries!O8/B10)</f>
        <v/>
      </c>
    </row>
    <row r="12">
      <c r="A12" s="26" t="inlineStr">
        <is>
          <t>Recorded cost (S$)</t>
        </is>
      </c>
      <c r="B12" s="32">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Cost_SGD])</f>
        <v/>
      </c>
    </row>
    <row r="13">
      <c r="A13" s="33" t="inlineStr">
        <is>
          <t>Rows after slicers</t>
        </is>
      </c>
      <c r="B13" s="34">
        <f>SUBTOTAL(103,tblWorkOrders[Work_Order_ID])</f>
        <v/>
      </c>
    </row>
    <row r="15">
      <c r="A15" s="35" t="inlineStr">
        <is>
          <t>How to filter</t>
        </is>
      </c>
    </row>
    <row r="16">
      <c r="A16" s="36" t="inlineStr">
        <is>
          <t>• Dropdowns B2:B5 or the slicers</t>
        </is>
      </c>
    </row>
    <row r="17">
      <c r="A17" s="36" t="inlineStr">
        <is>
          <t xml:space="preserve">  both filter every tile and chart.</t>
        </is>
      </c>
    </row>
    <row r="18">
      <c r="A18" s="36" t="inlineStr">
        <is>
          <t>• Unassigned = blank Assigned_To.</t>
        </is>
      </c>
    </row>
    <row r="19">
      <c r="A19" s="36" t="inlineStr">
        <is>
          <t>• Baseline: all All, slicers cleared.</t>
        </is>
      </c>
    </row>
    <row r="20">
      <c r="A20" s="36" t="inlineStr">
        <is>
          <t>• Summaries + checks:</t>
        </is>
      </c>
    </row>
    <row r="21">
      <c r="A21" s="36" t="inlineStr">
        <is>
          <t xml:space="preserve">  Dashboard_Summaries sheet.</t>
        </is>
      </c>
    </row>
  </sheetData>
  <conditionalFormatting sqref="D3">
    <cfRule type="expression" priority="1" dxfId="0">
      <formula>LEFT($D$3,1)="⚠"</formula>
    </cfRule>
  </conditionalFormatting>
  <dataValidations count="4">
    <dataValidation sqref="B2" showDropDown="0" showInputMessage="0" showErrorMessage="1" allowBlank="0" errorTitle="Choose from the list" error="Pick All or a value from the dropdown." type="list">
      <formula1>'Filter_Lists'!$A$1:$A$6</formula1>
    </dataValidation>
    <dataValidation sqref="B3" showDropDown="0" showInputMessage="0" showErrorMessage="1" allowBlank="0" errorTitle="Choose from the list" error="Pick All or a value from the dropdown." type="list">
      <formula1>'Filter_Lists'!$B$1:$B$6</formula1>
    </dataValidation>
    <dataValidation sqref="B4" showDropDown="0" showInputMessage="0" showErrorMessage="1" allowBlank="0" errorTitle="Choose from the list" error="Pick All or a value from the dropdown." type="list">
      <formula1>'Filter_Lists'!$C$1:$C$7</formula1>
    </dataValidation>
    <dataValidation sqref="B5" showDropDown="0" showInputMessage="0" showErrorMessage="1" allowBlank="0" errorTitle="Choose from the list" error="Pick All or a value from the dropdown." type="list">
      <formula1>'Filter_Lists'!$D$1:$D$10</formula1>
    </dataValidation>
  </dataValidations>
  <pageMargins left="0.75" right="0.75" top="1" bottom="1" header="0.5" footer="0.5"/>
  <drawing xmlns:r="http://schemas.openxmlformats.org/officeDocument/2006/relationships" r:id="rId1"/>
  <extLst>
    <ext xmlns:x15="http://schemas.microsoft.com/office/spreadsheetml/2010/11/main" uri="{3A4CF648-6AED-40f4-86FF-DC5316D8AED3}">
      <x14:slicerList xmlns:x14="http://schemas.microsoft.com/office/spreadsheetml/2009/9/main">
        <x14:slicer xmlns:r="http://schemas.openxmlformats.org/officeDocument/2006/relationships" r:id="rIdSlicer1"/>
      </x14:slicerList>
    </ext>
  </extLst>
</worksheet>
</file>

<file path=xl/worksheets/sheet9.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cols>
    <col width="16" customWidth="1" min="1" max="1"/>
    <col width="12" customWidth="1" min="2" max="2"/>
    <col width="3" customWidth="1" min="3" max="3"/>
    <col width="18" customWidth="1" min="4" max="4"/>
    <col width="12" customWidth="1" min="5" max="5"/>
    <col width="3" customWidth="1" min="6" max="6"/>
    <col width="18" customWidth="1" min="7" max="7"/>
    <col width="15" customWidth="1" min="8" max="8"/>
    <col width="13" customWidth="1" min="9" max="9"/>
    <col width="10" customWidth="1" min="10" max="10"/>
    <col width="11" customWidth="1" min="11" max="11"/>
    <col width="9" customWidth="1" min="12" max="12"/>
    <col width="3" customWidth="1" min="13" max="13"/>
    <col width="30" customWidth="1" min="14" max="14"/>
    <col width="70" customWidth="1" min="15" max="15"/>
  </cols>
  <sheetData>
    <row r="1">
      <c r="A1" s="37" t="inlineStr">
        <is>
          <t>Dashboard chart summaries, titles and checks (formula-backed; same selection as Dashboard)</t>
        </is>
      </c>
    </row>
    <row r="3">
      <c r="A3" s="38" t="inlineStr">
        <is>
          <t>Status</t>
        </is>
      </c>
      <c r="B3" s="38" t="inlineStr">
        <is>
          <t>Work orders</t>
        </is>
      </c>
      <c r="D3" s="38" t="inlineStr">
        <is>
          <t>Job category</t>
        </is>
      </c>
      <c r="E3" s="38" t="inlineStr">
        <is>
          <t>Work orders</t>
        </is>
      </c>
      <c r="G3" s="38" t="inlineStr">
        <is>
          <t>Site</t>
        </is>
      </c>
      <c r="H3" s="38" t="inlineStr">
        <is>
          <t>Overdue backlog</t>
        </is>
      </c>
      <c r="I3" s="38" t="inlineStr">
        <is>
          <t>Other backlog</t>
        </is>
      </c>
      <c r="J3" s="38" t="inlineStr">
        <is>
          <t>Closed</t>
        </is>
      </c>
      <c r="K3" s="38" t="inlineStr">
        <is>
          <t>Cancelled</t>
        </is>
      </c>
      <c r="L3" s="38" t="inlineStr">
        <is>
          <t>Total</t>
        </is>
      </c>
      <c r="N3" s="38" t="inlineStr">
        <is>
          <t>Item</t>
        </is>
      </c>
      <c r="O3" s="38" t="inlineStr">
        <is>
          <t>Value</t>
        </is>
      </c>
    </row>
    <row r="4">
      <c r="A4" t="inlineStr">
        <is>
          <t>New</t>
        </is>
      </c>
      <c r="B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4))</f>
        <v/>
      </c>
      <c r="D4" t="inlineStr">
        <is>
          <t>Leak Repair</t>
        </is>
      </c>
      <c r="E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4))</f>
        <v/>
      </c>
      <c r="G4" t="inlineStr">
        <is>
          <t>Woodlands Hub</t>
        </is>
      </c>
      <c r="H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4))</f>
        <v/>
      </c>
      <c r="I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4))-H4</f>
        <v/>
      </c>
      <c r="J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4))</f>
        <v/>
      </c>
      <c r="K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4))</f>
        <v/>
      </c>
      <c r="L4">
        <f>SUM(H4:K4)</f>
        <v/>
      </c>
      <c r="N4" t="inlineStr">
        <is>
          <t>Status chart title</t>
        </is>
      </c>
      <c r="O4">
        <f>IF(Dashboard!$B$7=0,"No work orders in the current selection",IF(COUNTIF(B4:B9,MAX(B4:B9))&gt;1,COUNTIF(B4:B9,MAX(B4:B9))&amp;" statuses tie for most work orders ("&amp;MAX(B4:B9)&amp;" each)",INDEX(A4:A9,MATCH(MAX(B4:B9),B4:B9,0))&amp;" is the largest status group ("&amp;MAX(B4:B9)&amp;" of "&amp;Dashboard!$B$7&amp;")"))</f>
        <v/>
      </c>
    </row>
    <row r="5">
      <c r="A5" t="inlineStr">
        <is>
          <t>Assigned</t>
        </is>
      </c>
      <c r="B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5))</f>
        <v/>
      </c>
      <c r="D5" t="inlineStr">
        <is>
          <t>Valve Repair</t>
        </is>
      </c>
      <c r="E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5))</f>
        <v/>
      </c>
      <c r="G5" t="inlineStr">
        <is>
          <t>Jurong Depot</t>
        </is>
      </c>
      <c r="H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5))</f>
        <v/>
      </c>
      <c r="I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5))-H5</f>
        <v/>
      </c>
      <c r="J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5))</f>
        <v/>
      </c>
      <c r="K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5))</f>
        <v/>
      </c>
      <c r="L5">
        <f>SUM(H5:K5)</f>
        <v/>
      </c>
      <c r="N5" t="inlineStr">
        <is>
          <t>Category chart title</t>
        </is>
      </c>
      <c r="O5">
        <f>IF(Dashboard!$B$7=0,"No work orders in the current selection",IF(MAX(E4:E8)=MIN(E4:E8),"All five job categories are level at "&amp;MAX(E4:E8)&amp;" work orders",IF(COUNTIF(E4:E8,MAX(E4:E8))&gt;1,COUNTIF(E4:E8,MAX(E4:E8))&amp;" categories tie for most work orders ("&amp;MAX(E4:E8)&amp;" each)",INDEX(D4:D8,MATCH(MAX(E4:E8),E4:E8,0))&amp;" has the most work orders ("&amp;MAX(E4:E8)&amp;")")))</f>
        <v/>
      </c>
    </row>
    <row r="6">
      <c r="A6" t="inlineStr">
        <is>
          <t>In Progress</t>
        </is>
      </c>
      <c r="B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6))</f>
        <v/>
      </c>
      <c r="D6" t="inlineStr">
        <is>
          <t>Pipe Replacement</t>
        </is>
      </c>
      <c r="E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6))</f>
        <v/>
      </c>
      <c r="G6" t="inlineStr">
        <is>
          <t>Tampines Centre</t>
        </is>
      </c>
      <c r="H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6))</f>
        <v/>
      </c>
      <c r="I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6))-H6</f>
        <v/>
      </c>
      <c r="J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6))</f>
        <v/>
      </c>
      <c r="K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6))</f>
        <v/>
      </c>
      <c r="L6">
        <f>SUM(H6:K6)</f>
        <v/>
      </c>
      <c r="N6" t="inlineStr">
        <is>
          <t>Site chart title</t>
        </is>
      </c>
      <c r="O6">
        <f>IF(H9=0,"No overdue backlog in the current selection",IF(COUNTIF(H4:H8,MAX(H4:H8))&gt;1,COUNTIF(H4:H8,MAX(H4:H8))&amp;" sites tie for most overdue backlog ("&amp;MAX(H4:H8)&amp;" each)",INDEX(G4:G8,MATCH(MAX(H4:H8),H4:H8,0))&amp;" has the most overdue backlog ("&amp;MAX(H4:H8)&amp;" of "&amp;H9&amp;")"))</f>
        <v/>
      </c>
    </row>
    <row r="7">
      <c r="A7" t="inlineStr">
        <is>
          <t>On Hold</t>
        </is>
      </c>
      <c r="B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7))</f>
        <v/>
      </c>
      <c r="D7" t="inlineStr">
        <is>
          <t>Pump Service</t>
        </is>
      </c>
      <c r="E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7))</f>
        <v/>
      </c>
      <c r="G7" t="inlineStr">
        <is>
          <t>Paya Lebar Office</t>
        </is>
      </c>
      <c r="H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7))</f>
        <v/>
      </c>
      <c r="I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7))-H7</f>
        <v/>
      </c>
      <c r="J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7))</f>
        <v/>
      </c>
      <c r="K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7))</f>
        <v/>
      </c>
      <c r="L7">
        <f>SUM(H7:K7)</f>
        <v/>
      </c>
      <c r="N7" t="inlineStr">
        <is>
          <t>Unassigned backlog</t>
        </is>
      </c>
      <c r="O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Assigned_To]=""))</f>
        <v/>
      </c>
    </row>
    <row r="8">
      <c r="A8" t="inlineStr">
        <is>
          <t>Closed</t>
        </is>
      </c>
      <c r="B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8))</f>
        <v/>
      </c>
      <c r="D8" t="inlineStr">
        <is>
          <t>Meter Service</t>
        </is>
      </c>
      <c r="E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8))</f>
        <v/>
      </c>
      <c r="G8" t="inlineStr">
        <is>
          <t>Changi Workshop</t>
        </is>
      </c>
      <c r="H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8))</f>
        <v/>
      </c>
      <c r="I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8))-H8</f>
        <v/>
      </c>
      <c r="J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8))</f>
        <v/>
      </c>
      <c r="K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8))</f>
        <v/>
      </c>
      <c r="L8">
        <f>SUM(H8:K8)</f>
        <v/>
      </c>
      <c r="N8" t="inlineStr">
        <is>
          <t>Closed on or before due date</t>
        </is>
      </c>
      <c r="O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Closed_Date]&lt;=tblWorkOrders[Due_Date]))</f>
        <v/>
      </c>
    </row>
    <row r="9">
      <c r="A9" t="inlineStr">
        <is>
          <t>Cancelled</t>
        </is>
      </c>
      <c r="B9">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9))</f>
        <v/>
      </c>
      <c r="D9" s="39" t="inlineStr">
        <is>
          <t>Total</t>
        </is>
      </c>
      <c r="E9" s="39">
        <f>SUM(E4:E8)</f>
        <v/>
      </c>
      <c r="G9" s="39" t="inlineStr">
        <is>
          <t>Total</t>
        </is>
      </c>
      <c r="H9" s="39">
        <f>SUM(H4:H8)</f>
        <v/>
      </c>
      <c r="I9" s="39">
        <f>SUM(I4:I8)</f>
        <v/>
      </c>
      <c r="J9" s="39">
        <f>SUM(J4:J8)</f>
        <v/>
      </c>
      <c r="K9" s="39">
        <f>SUM(K4:K8)</f>
        <v/>
      </c>
      <c r="L9" s="39">
        <f>SUM(L4:L8)</f>
        <v/>
      </c>
      <c r="N9" t="inlineStr">
        <is>
          <t>Baseline view (All, no slicer)</t>
        </is>
      </c>
      <c r="O9">
        <f>AND(Dashboard!$B$2="All",Dashboard!$B$3="All",Dashboard!$B$4="All",Dashboard!$B$5="All",SUBTOTAL(103,tblWorkOrders[Work_Order_ID])=ROWS(tblWorkOrders[Work_Order_ID]))</f>
        <v/>
      </c>
    </row>
    <row r="10">
      <c r="A10" s="39" t="inlineStr">
        <is>
          <t>Total</t>
        </is>
      </c>
      <c r="B10" s="39">
        <f>SUM(B4:B9)</f>
        <v/>
      </c>
      <c r="N10" t="inlineStr">
        <is>
          <t>Charts reconcile to B7</t>
        </is>
      </c>
      <c r="O10">
        <f>AND(B10=Dashboard!$B$7,E9=Dashboard!$B$7,L9=Dashboard!$B$7)</f>
        <v/>
      </c>
    </row>
    <row r="11">
      <c r="N11" t="inlineStr">
        <is>
          <t>Check: total work orders</t>
        </is>
      </c>
      <c r="O11">
        <f>IF(AND(O10,OR(NOT(O9),Dashboard!$B$7=Control!$B$3)),"PASS","REVIEW")</f>
        <v/>
      </c>
    </row>
    <row r="12">
      <c r="N12" t="inlineStr">
        <is>
          <t>Check: backlog</t>
        </is>
      </c>
      <c r="O12">
        <f>IF(AND(Dashboard!$B$7=Dashboard!$B$8+Dashboard!$B$10+B9,OR(NOT(O9),Dashboard!$B$8=Control!$B$6)),"PASS","REVIEW")</f>
        <v/>
      </c>
    </row>
    <row r="13">
      <c r="N13" t="inlineStr">
        <is>
          <t>Check: overdue backlog</t>
        </is>
      </c>
      <c r="O13">
        <f>IF(AND(Dashboard!$B$9&lt;=Dashboard!$B$8,H9=Dashboard!$B$9,OR(NOT(O9),Dashboard!$B$9=Control!$B$7)),"PASS","REVIEW")</f>
        <v/>
      </c>
    </row>
    <row r="14">
      <c r="N14" t="inlineStr">
        <is>
          <t>Check: closed</t>
        </is>
      </c>
      <c r="O14">
        <f>IF(AND(Dashboard!$B$10=B8,OR(NOT(O9),Dashboard!$B$10=Control!$B$4)),"PASS","REVIEW")</f>
        <v/>
      </c>
    </row>
    <row r="15">
      <c r="N15" t="inlineStr">
        <is>
          <t>Check: on-time rate</t>
        </is>
      </c>
      <c r="O15">
        <f>IF(Dashboard!$B$10=0,IF(Dashboard!$B$11="N/A","PASS","REVIEW"),IF(AND(ROUND(O8/Dashboard!$B$10-Dashboard!$B$11,6)=0,OR(NOT(O9),ROUND(Dashboard!$B$11-Control!$B$10,6)=0)),"PASS","REVIEW"))</f>
        <v/>
      </c>
    </row>
    <row r="16">
      <c r="N16" t="inlineStr">
        <is>
          <t>Check: recorded cost</t>
        </is>
      </c>
      <c r="O16">
        <f>IF(AND(ROUND(Dashboard!$B$12-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Cost_SGD]),2)=0,OR(NOT(O9),ROUND(Dashboard!$B$12-Control!$B$11,2)=0)),"PASS","REVIEW")</f>
        <v/>
      </c>
    </row>
  </sheetData>
  <conditionalFormatting sqref="B10">
    <cfRule type="expression" priority="1" dxfId="1">
      <formula>B10&lt;&gt;Dashboard!$B$7</formula>
    </cfRule>
  </conditionalFormatting>
  <conditionalFormatting sqref="E9">
    <cfRule type="expression" priority="2" dxfId="1">
      <formula>E9&lt;&gt;Dashboard!$B$7</formula>
    </cfRule>
  </conditionalFormatting>
  <conditionalFormatting sqref="L9">
    <cfRule type="expression" priority="3" dxfId="1">
      <formula>L9&lt;&gt;Dashboard!$B$7</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Woodlands Hub</t>
        </is>
      </c>
      <c r="B2" t="inlineStr">
        <is>
          <t>Leak Repair</t>
        </is>
      </c>
      <c r="C2" t="inlineStr">
        <is>
          <t>New</t>
        </is>
      </c>
      <c r="D2" t="inlineStr">
        <is>
          <t>Aisha Tan</t>
        </is>
      </c>
    </row>
    <row r="3">
      <c r="A3" t="inlineStr">
        <is>
          <t>Jurong Depot</t>
        </is>
      </c>
      <c r="B3" t="inlineStr">
        <is>
          <t>Valve Repair</t>
        </is>
      </c>
      <c r="C3" t="inlineStr">
        <is>
          <t>Assigned</t>
        </is>
      </c>
      <c r="D3" t="inlineStr">
        <is>
          <t>Ben Lim</t>
        </is>
      </c>
    </row>
    <row r="4">
      <c r="A4" t="inlineStr">
        <is>
          <t>Tampines Centre</t>
        </is>
      </c>
      <c r="B4" t="inlineStr">
        <is>
          <t>Pipe Replacement</t>
        </is>
      </c>
      <c r="C4" t="inlineStr">
        <is>
          <t>In Progress</t>
        </is>
      </c>
      <c r="D4" t="inlineStr">
        <is>
          <t>Chloe Goh</t>
        </is>
      </c>
    </row>
    <row r="5">
      <c r="A5" t="inlineStr">
        <is>
          <t>Paya Lebar Office</t>
        </is>
      </c>
      <c r="B5" t="inlineStr">
        <is>
          <t>Pump Service</t>
        </is>
      </c>
      <c r="C5" t="inlineStr">
        <is>
          <t>On Hold</t>
        </is>
      </c>
      <c r="D5" t="inlineStr">
        <is>
          <t>Daniel Lee</t>
        </is>
      </c>
    </row>
    <row r="6">
      <c r="A6" t="inlineStr">
        <is>
          <t>Changi Workshop</t>
        </is>
      </c>
      <c r="B6" t="inlineStr">
        <is>
          <t>Meter Service</t>
        </is>
      </c>
      <c r="C6" t="inlineStr">
        <is>
          <t>Closed</t>
        </is>
      </c>
      <c r="D6" t="inlineStr">
        <is>
          <t>Elena Ong</t>
        </is>
      </c>
    </row>
    <row r="7">
      <c r="C7" t="inlineStr">
        <is>
          <t>Cancelled</t>
        </is>
      </c>
      <c r="D7" t="inlineStr">
        <is>
          <t>Farid Rahman</t>
        </is>
      </c>
    </row>
    <row r="8">
      <c r="D8" t="inlineStr">
        <is>
          <t>Grace Ng</t>
        </is>
      </c>
    </row>
    <row r="9">
      <c r="D9" t="inlineStr">
        <is>
          <t>Hari Kumar</t>
        </is>
      </c>
    </row>
    <row r="10">
      <c r="D10" t="inlineStr">
        <is>
          <t>Unassigned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2026-10-13T16:29:12Z</dcterms:created>
  <dcterms:modified xmlns:dcterms="http://purl.org/dc/terms/" xmlns:xsi="http://www.w3.org/2001/XMLSchema-instance" xsi:type="dcterms:W3CDTF">2026-10-18T07:43:24Z</dcterms:modified>
</cp:coreProperties>
</file>