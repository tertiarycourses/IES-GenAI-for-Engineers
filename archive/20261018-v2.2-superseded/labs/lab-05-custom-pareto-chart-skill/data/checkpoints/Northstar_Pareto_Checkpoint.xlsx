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  <sheet xmlns:r="http://schemas.openxmlformats.org/officeDocument/2006/relationships" name="Pareto_Job_Category" sheetId="8" state="visible" r:id="rId8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Overdue backlog: category contribution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'Pareto_Job_Category'!B1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'Pareto_Job_Category'!$A$2:$A$6</f>
            </numRef>
          </cat>
          <val>
            <numRef>
              <f>'Pareto_Job_Category'!$B$2:$B$6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'Pareto_Job_Category'!E1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'Pareto_Job_Category'!$A$2:$A$6</f>
            </numRef>
          </cat>
          <val>
            <numRef>
              <f>'Pareto_Job_Category'!$E$2:$E$6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Work orders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share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864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4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4" t="n">
        <v>46290</v>
      </c>
      <c r="H2" s="4" t="n">
        <v>46297</v>
      </c>
      <c r="I2" s="4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4" t="n">
        <v>46289</v>
      </c>
      <c r="H3" s="4" t="n">
        <v>46297</v>
      </c>
      <c r="I3" s="4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4" t="n">
        <v>46288</v>
      </c>
      <c r="H4" s="4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4" t="n">
        <v>46287</v>
      </c>
      <c r="H5" s="4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4" t="n">
        <v>46286</v>
      </c>
      <c r="H6" s="4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4" t="n">
        <v>46285</v>
      </c>
      <c r="H7" s="4" t="n">
        <v>46297</v>
      </c>
      <c r="I7" s="4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4" t="n">
        <v>46284</v>
      </c>
      <c r="H8" s="4" t="n">
        <v>46297</v>
      </c>
      <c r="I8" s="4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4" t="n">
        <v>46283</v>
      </c>
      <c r="H9" s="4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4" t="n">
        <v>46282</v>
      </c>
      <c r="H10" s="4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4" t="n">
        <v>46281</v>
      </c>
      <c r="H11" s="4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4" t="n">
        <v>46280</v>
      </c>
      <c r="H12" s="4" t="n">
        <v>46287</v>
      </c>
      <c r="I12" s="4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4" t="n">
        <v>46279</v>
      </c>
      <c r="H13" s="4" t="n">
        <v>46287</v>
      </c>
      <c r="I13" s="4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/>
      <c r="G14" s="4" t="n">
        <v>46278</v>
      </c>
      <c r="H14" s="4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4" t="n">
        <v>46277</v>
      </c>
      <c r="H15" s="4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4" t="n">
        <v>46276</v>
      </c>
      <c r="H16" s="4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4" t="n">
        <v>46275</v>
      </c>
      <c r="H17" s="4" t="n">
        <v>46287</v>
      </c>
      <c r="I17" s="4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4" t="n">
        <v>46274</v>
      </c>
      <c r="H18" s="4" t="n">
        <v>46287</v>
      </c>
      <c r="I18" s="4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4" t="n">
        <v>46273</v>
      </c>
      <c r="H19" s="4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4" t="n">
        <v>46272</v>
      </c>
      <c r="H20" s="4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4" t="n">
        <v>46271</v>
      </c>
      <c r="H21" s="4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4" t="n">
        <v>46270</v>
      </c>
      <c r="H22" s="4" t="n">
        <v>46277</v>
      </c>
      <c r="I22" s="4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4" t="n">
        <v>46269</v>
      </c>
      <c r="H23" s="4" t="n">
        <v>46277</v>
      </c>
      <c r="I23" s="4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4" t="n">
        <v>46268</v>
      </c>
      <c r="H24" s="4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4" t="n">
        <v>46267</v>
      </c>
      <c r="H25" s="4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/>
      <c r="G26" s="4" t="n">
        <v>46266</v>
      </c>
      <c r="H26" s="4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4" t="n">
        <v>46265</v>
      </c>
      <c r="H27" s="4" t="n">
        <v>46277</v>
      </c>
      <c r="I27" s="4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4" t="n">
        <v>46264</v>
      </c>
      <c r="H28" s="4" t="n">
        <v>46277</v>
      </c>
      <c r="I28" s="4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4" t="n">
        <v>46263</v>
      </c>
      <c r="H29" s="4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4" t="n">
        <v>46262</v>
      </c>
      <c r="H30" s="4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4" t="n">
        <v>46261</v>
      </c>
      <c r="H31" s="4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4" t="n">
        <v>46260</v>
      </c>
      <c r="H32" s="4" t="n">
        <v>46267</v>
      </c>
      <c r="I32" s="4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4" t="n">
        <v>46259</v>
      </c>
      <c r="H33" s="4" t="n">
        <v>46267</v>
      </c>
      <c r="I33" s="4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4" t="n">
        <v>46258</v>
      </c>
      <c r="H34" s="4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4" t="n">
        <v>46257</v>
      </c>
      <c r="H35" s="4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4" t="n">
        <v>46256</v>
      </c>
      <c r="H36" s="4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4" t="n">
        <v>46255</v>
      </c>
      <c r="H37" s="4" t="n">
        <v>46267</v>
      </c>
      <c r="I37" s="4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4" t="n">
        <v>46254</v>
      </c>
      <c r="H38" s="4" t="n">
        <v>46267</v>
      </c>
      <c r="I38" s="4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4" t="n">
        <v>46253</v>
      </c>
      <c r="H39" s="4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4" t="n">
        <v>46252</v>
      </c>
      <c r="H40" s="4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4" t="n">
        <v>46251</v>
      </c>
      <c r="H41" s="4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4" t="n">
        <v>46250</v>
      </c>
      <c r="H42" s="4" t="n">
        <v>46257</v>
      </c>
      <c r="I42" s="4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4" t="n">
        <v>46249</v>
      </c>
      <c r="H43" s="4" t="n">
        <v>46257</v>
      </c>
      <c r="I43" s="4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4" t="n">
        <v>46248</v>
      </c>
      <c r="H44" s="4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4" t="n">
        <v>46247</v>
      </c>
      <c r="H45" s="4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4" t="n">
        <v>46246</v>
      </c>
      <c r="H46" s="4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4" t="n">
        <v>46245</v>
      </c>
      <c r="H47" s="4" t="n">
        <v>46257</v>
      </c>
      <c r="I47" s="4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4" t="n">
        <v>46244</v>
      </c>
      <c r="H48" s="4" t="n">
        <v>46257</v>
      </c>
      <c r="I48" s="4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4" t="n">
        <v>46243</v>
      </c>
      <c r="H49" s="4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/>
      <c r="G50" s="4" t="n">
        <v>46242</v>
      </c>
      <c r="H50" s="4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4" t="n">
        <v>46241</v>
      </c>
      <c r="H51" s="4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4" t="n">
        <v>46240</v>
      </c>
      <c r="H52" s="4" t="n">
        <v>46247</v>
      </c>
      <c r="I52" s="4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4" t="n">
        <v>46239</v>
      </c>
      <c r="H53" s="4" t="n">
        <v>46247</v>
      </c>
      <c r="I53" s="4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4" t="n">
        <v>46238</v>
      </c>
      <c r="H54" s="4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4" t="n">
        <v>46237</v>
      </c>
      <c r="H55" s="4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4" t="n">
        <v>46236</v>
      </c>
      <c r="H56" s="4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4" t="n">
        <v>46235</v>
      </c>
      <c r="H57" s="4" t="n">
        <v>46247</v>
      </c>
      <c r="I57" s="4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4" t="n">
        <v>46234</v>
      </c>
      <c r="H58" s="4" t="n">
        <v>46247</v>
      </c>
      <c r="I58" s="4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4" t="n">
        <v>46233</v>
      </c>
      <c r="H59" s="4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4" t="n">
        <v>46232</v>
      </c>
      <c r="H60" s="4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4" t="n">
        <v>46231</v>
      </c>
      <c r="H61" s="4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4" t="n">
        <v>46230</v>
      </c>
      <c r="H62" s="4" t="n">
        <v>46237</v>
      </c>
      <c r="I62" s="4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4" t="n">
        <v>46229</v>
      </c>
      <c r="H63" s="4" t="n">
        <v>46237</v>
      </c>
      <c r="I63" s="4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4" t="n">
        <v>46228</v>
      </c>
      <c r="H64" s="4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4" t="n">
        <v>46227</v>
      </c>
      <c r="H65" s="4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4" t="n">
        <v>46226</v>
      </c>
      <c r="H66" s="4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4" t="n">
        <v>46225</v>
      </c>
      <c r="H67" s="4" t="n">
        <v>46237</v>
      </c>
      <c r="I67" s="4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4" t="n">
        <v>46224</v>
      </c>
      <c r="H68" s="4" t="n">
        <v>46237</v>
      </c>
      <c r="I68" s="4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4" t="n">
        <v>46223</v>
      </c>
      <c r="H69" s="4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4" t="n">
        <v>46222</v>
      </c>
      <c r="H70" s="4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4" t="n">
        <v>46221</v>
      </c>
      <c r="H71" s="4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4" t="n">
        <v>46220</v>
      </c>
      <c r="H72" s="4" t="n">
        <v>46227</v>
      </c>
      <c r="I72" s="4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4" t="n">
        <v>46219</v>
      </c>
      <c r="H73" s="4" t="n">
        <v>46227</v>
      </c>
      <c r="I73" s="4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/>
      <c r="G74" s="4" t="n">
        <v>46218</v>
      </c>
      <c r="H74" s="4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4" t="n">
        <v>46217</v>
      </c>
      <c r="H75" s="4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4" t="n">
        <v>46216</v>
      </c>
      <c r="H76" s="4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4" t="n">
        <v>46215</v>
      </c>
      <c r="H77" s="4" t="n">
        <v>46227</v>
      </c>
      <c r="I77" s="4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4" t="n">
        <v>46214</v>
      </c>
      <c r="H78" s="4" t="n">
        <v>46227</v>
      </c>
      <c r="I78" s="4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4" t="n">
        <v>46213</v>
      </c>
      <c r="H79" s="4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4" t="n">
        <v>46212</v>
      </c>
      <c r="H80" s="4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4" t="n">
        <v>46211</v>
      </c>
      <c r="H81" s="4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4" t="n">
        <v>46290</v>
      </c>
      <c r="H82" s="4" t="n">
        <v>46297</v>
      </c>
      <c r="I82" s="4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4" t="n">
        <v>46289</v>
      </c>
      <c r="H83" s="4" t="n">
        <v>46297</v>
      </c>
      <c r="I83" s="4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4" t="n">
        <v>46288</v>
      </c>
      <c r="H84" s="4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4" t="n">
        <v>46287</v>
      </c>
      <c r="H85" s="4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/>
      <c r="G86" s="4" t="n">
        <v>46286</v>
      </c>
      <c r="H86" s="4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4" t="n">
        <v>46285</v>
      </c>
      <c r="H87" s="4" t="n">
        <v>46297</v>
      </c>
      <c r="I87" s="4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4" t="n">
        <v>46284</v>
      </c>
      <c r="H88" s="4" t="n">
        <v>46297</v>
      </c>
      <c r="I88" s="4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4" t="n">
        <v>46283</v>
      </c>
      <c r="H89" s="4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4" t="n">
        <v>46282</v>
      </c>
      <c r="H90" s="4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4" t="n">
        <v>46281</v>
      </c>
      <c r="H91" s="4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4" t="n">
        <v>46280</v>
      </c>
      <c r="H92" s="4" t="n">
        <v>46287</v>
      </c>
      <c r="I92" s="4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4" t="n">
        <v>46279</v>
      </c>
      <c r="H93" s="4" t="n">
        <v>46287</v>
      </c>
      <c r="I93" s="4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4" t="n">
        <v>46278</v>
      </c>
      <c r="H94" s="4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4" t="n">
        <v>46277</v>
      </c>
      <c r="H95" s="4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4" t="n">
        <v>46276</v>
      </c>
      <c r="H96" s="4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4" t="n">
        <v>46275</v>
      </c>
      <c r="H97" s="4" t="n">
        <v>46287</v>
      </c>
      <c r="I97" s="4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4" t="n">
        <v>46274</v>
      </c>
      <c r="H98" s="4" t="n">
        <v>46287</v>
      </c>
      <c r="I98" s="4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4" t="n">
        <v>46273</v>
      </c>
      <c r="H99" s="4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4" t="n">
        <v>46272</v>
      </c>
      <c r="H100" s="4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4" t="n">
        <v>46271</v>
      </c>
      <c r="H101" s="4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4" t="n">
        <v>46270</v>
      </c>
      <c r="H102" s="4" t="n">
        <v>46277</v>
      </c>
      <c r="I102" s="4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4" t="n">
        <v>46269</v>
      </c>
      <c r="H103" s="4" t="n">
        <v>46277</v>
      </c>
      <c r="I103" s="4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4" t="n">
        <v>46268</v>
      </c>
      <c r="H104" s="4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4" t="n">
        <v>46267</v>
      </c>
      <c r="H105" s="4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4" t="n">
        <v>46266</v>
      </c>
      <c r="H106" s="4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4" t="n">
        <v>46265</v>
      </c>
      <c r="H107" s="4" t="n">
        <v>46277</v>
      </c>
      <c r="I107" s="4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4" t="n">
        <v>46264</v>
      </c>
      <c r="H108" s="4" t="n">
        <v>46277</v>
      </c>
      <c r="I108" s="4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4" t="n">
        <v>46263</v>
      </c>
      <c r="H109" s="4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/>
      <c r="G110" s="4" t="n">
        <v>46262</v>
      </c>
      <c r="H110" s="4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4" t="n">
        <v>46261</v>
      </c>
      <c r="H111" s="4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4" t="n">
        <v>46260</v>
      </c>
      <c r="H112" s="4" t="n">
        <v>46267</v>
      </c>
      <c r="I112" s="4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4" t="n">
        <v>46259</v>
      </c>
      <c r="H113" s="4" t="n">
        <v>46267</v>
      </c>
      <c r="I113" s="4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4" t="n">
        <v>46258</v>
      </c>
      <c r="H114" s="4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4" t="n">
        <v>46257</v>
      </c>
      <c r="H115" s="4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4" t="n">
        <v>46256</v>
      </c>
      <c r="H116" s="4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4" t="n">
        <v>46255</v>
      </c>
      <c r="H117" s="4" t="n">
        <v>46267</v>
      </c>
      <c r="I117" s="4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4" t="n">
        <v>46254</v>
      </c>
      <c r="H118" s="4" t="n">
        <v>46267</v>
      </c>
      <c r="I118" s="4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4" t="n">
        <v>46253</v>
      </c>
      <c r="H119" s="4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4" t="n">
        <v>46252</v>
      </c>
      <c r="H120" s="4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4" t="n">
        <v>46251</v>
      </c>
      <c r="H121" s="4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4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</c>
      <c r="C2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DASHBOARD LAYOUT</t>
        </is>
      </c>
    </row>
    <row r="10">
      <c r="A10" s="2" t="inlineStr">
        <is>
          <t>Dashboard sheet: title in A1; Site, Job_Category, Status and Assigned_To dropdowns in B2:B5 (All plus source values); the six measures in B7:B12; data-as-at date and selected scope in D2.</t>
        </is>
      </c>
    </row>
    <row r="11">
      <c r="A11" s="2" t="inlineStr">
        <is>
          <t>Six KPI tiles in D4:I7, one column per tile: title in row 4, large value in row 5, short definition in row 6 and "Checks: PASS" in row 7.</t>
        </is>
      </c>
    </row>
    <row r="12">
      <c r="A12" s="2" t="inlineStr">
        <is>
          <t>Charts in a grid below the tiles: work orders by status and by job category side by side, then a full-width stacked bar by site (overdue backlog, other backlog, Closed, Cancelled).</t>
        </is>
      </c>
    </row>
    <row r="13">
      <c r="A13" s="2" t="inlineStr">
        <is>
          <t>Slicers for Site, Job_Category, Status and Assigned_To on the right of the tiles, connected to tblWorkOrders. KPI formulas use SUBTOTAL visibility so slicers and dropdowns both filter every tile and chart.</t>
        </is>
      </c>
    </row>
    <row r="14">
      <c r="A14" s="2" t="inlineStr">
        <is>
          <t>Put chart summaries, chart-title formulas and KPI checks on Dashboard_Summaries. Never merge cells. Hide gridlines on Dashboard.</t>
        </is>
      </c>
    </row>
    <row r="15">
      <c r="A15" s="2" t="inlineStr">
        <is>
          <t>## DASHBOARD STYLE</t>
        </is>
      </c>
    </row>
    <row r="16">
      <c r="A16" s="2" t="inlineStr">
        <is>
          <t>Tiles: white bold text on solid navy #1F4E79 (totals and rates), blue #2E75B6 (backlog, overdue) or teal #2A9D8F (Closed, cost).</t>
        </is>
      </c>
    </row>
    <row r="17">
      <c r="A17" s="2" t="inlineStr">
        <is>
          <t>Every chart title states the finding from a cell formula, e.g. "Changi Workshop has the most overdue backlog (18 of 50)".</t>
        </is>
      </c>
    </row>
    <row r="18">
      <c r="A18" s="2" t="inlineStr">
        <is>
          <t>Show data labels on bars; no gridlines; rates as % with one decimal. Each chart total must equal B7.</t>
        </is>
      </c>
    </row>
    <row r="19">
      <c r="A19" s="2" t="inlineStr">
        <is>
          <t>## OUTPUT AND REVIEW</t>
        </is>
      </c>
    </row>
    <row r="20">
      <c r="A20" s="2" t="inlineStr">
        <is>
          <t>Use structured table references. Preserve the visible .Rules sheet and unrelated sheets, charts and Prompt_Log.</t>
        </is>
      </c>
    </row>
    <row r="21">
      <c r="A21" s="2" t="inlineStr">
        <is>
          <t>Keep current owners separate from unapproved assignment proposals. Missing facts and approvals remain UNKNOWN.</t>
        </is>
      </c>
    </row>
    <row r="22">
      <c r="A22" s="2" t="inlineStr">
        <is>
          <t>Ask before replacing named output sheets. Reconcile every count, rate and chart against source rows; do not duplicate outputs on rerun.</t>
        </is>
      </c>
    </row>
    <row r="23">
      <c r="A23" s="2">
        <f>"Reporting date: "&amp;TEXT(Control!B2,"yyyy-mm-dd")</f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8" customWidth="1" min="3" max="3"/>
    <col width="17" customWidth="1" min="4" max="4"/>
    <col width="20" customWidth="1" min="5" max="5"/>
  </cols>
  <sheetData>
    <row r="1">
      <c r="A1" s="1" t="inlineStr">
        <is>
          <t>Job_Category</t>
        </is>
      </c>
      <c r="B1" s="1" t="inlineStr">
        <is>
          <t>Count</t>
        </is>
      </c>
      <c r="C1" s="1" t="inlineStr">
        <is>
          <t>Cumulative_Count</t>
        </is>
      </c>
      <c r="D1" s="1" t="inlineStr">
        <is>
          <t>Share</t>
        </is>
      </c>
      <c r="E1" s="1" t="inlineStr">
        <is>
          <t>Cumulative_Percent</t>
        </is>
      </c>
    </row>
    <row r="2">
      <c r="A2" s="2" t="inlineStr">
        <is>
          <t>Pump Service</t>
        </is>
      </c>
      <c r="B2" s="2">
        <f>COUNTIFS(tblWorkOrders[Job_Category],A2,tblWorkOrders[Status],"&lt;&gt;Closed",tblWorkOrders[Status],"&lt;&gt;Cancelled",tblWorkOrders[Due_Date],"&lt;"&amp;Control!$B$2)</f>
      </c>
      <c r="C2" s="2">
        <f>SUM($B$2:B2)</f>
      </c>
      <c r="D2" s="5">
        <f>IF(SUM($B$2:$B$6)=0,"N/A",B2/SUM($B$2:$B$6))</f>
      </c>
      <c r="E2" s="5">
        <f>IF(SUM($B$2:$B$6)=0,"N/A",C2/SUM($B$2:$B$6))</f>
      </c>
    </row>
    <row r="3">
      <c r="A3" s="2" t="inlineStr">
        <is>
          <t>Meter Service</t>
        </is>
      </c>
      <c r="B3" s="2">
        <f>COUNTIFS(tblWorkOrders[Job_Category],A3,tblWorkOrders[Status],"&lt;&gt;Closed",tblWorkOrders[Status],"&lt;&gt;Cancelled",tblWorkOrders[Due_Date],"&lt;"&amp;Control!$B$2)</f>
      </c>
      <c r="C3" s="2">
        <f>SUM($B$2:B3)</f>
      </c>
      <c r="D3" s="5">
        <f>IF(SUM($B$2:$B$6)=0,"N/A",B3/SUM($B$2:$B$6))</f>
      </c>
      <c r="E3" s="5">
        <f>IF(SUM($B$2:$B$6)=0,"N/A",C3/SUM($B$2:$B$6))</f>
      </c>
    </row>
    <row r="4">
      <c r="A4" s="2" t="inlineStr">
        <is>
          <t>Leak Repair</t>
        </is>
      </c>
      <c r="B4" s="2">
        <f>COUNTIFS(tblWorkOrders[Job_Category],A4,tblWorkOrders[Status],"&lt;&gt;Closed",tblWorkOrders[Status],"&lt;&gt;Cancelled",tblWorkOrders[Due_Date],"&lt;"&amp;Control!$B$2)</f>
      </c>
      <c r="C4" s="2">
        <f>SUM($B$2:B4)</f>
      </c>
      <c r="D4" s="5">
        <f>IF(SUM($B$2:$B$6)=0,"N/A",B4/SUM($B$2:$B$6))</f>
      </c>
      <c r="E4" s="5">
        <f>IF(SUM($B$2:$B$6)=0,"N/A",C4/SUM($B$2:$B$6))</f>
      </c>
    </row>
    <row r="5">
      <c r="A5" s="2" t="inlineStr">
        <is>
          <t>Valve Repair</t>
        </is>
      </c>
      <c r="B5" s="2">
        <f>COUNTIFS(tblWorkOrders[Job_Category],A5,tblWorkOrders[Status],"&lt;&gt;Closed",tblWorkOrders[Status],"&lt;&gt;Cancelled",tblWorkOrders[Due_Date],"&lt;"&amp;Control!$B$2)</f>
      </c>
      <c r="C5" s="2">
        <f>SUM($B$2:B5)</f>
      </c>
      <c r="D5" s="5">
        <f>IF(SUM($B$2:$B$6)=0,"N/A",B5/SUM($B$2:$B$6))</f>
      </c>
      <c r="E5" s="5">
        <f>IF(SUM($B$2:$B$6)=0,"N/A",C5/SUM($B$2:$B$6))</f>
      </c>
    </row>
    <row r="6">
      <c r="A6" s="2" t="inlineStr">
        <is>
          <t>Pipe Replacement</t>
        </is>
      </c>
      <c r="B6" s="2">
        <f>COUNTIFS(tblWorkOrders[Job_Category],A6,tblWorkOrders[Status],"&lt;&gt;Closed",tblWorkOrders[Status],"&lt;&gt;Cancelled",tblWorkOrders[Due_Date],"&lt;"&amp;Control!$B$2)</f>
      </c>
      <c r="C6" s="2">
        <f>SUM($B$2:B6)</f>
      </c>
      <c r="D6" s="5">
        <f>IF(SUM($B$2:$B$6)=0,"N/A",B6/SUM($B$2:$B$6))</f>
      </c>
      <c r="E6" s="5">
        <f>IF(SUM($B$2:$B$6)=0,"N/A",C6/SUM($B$2:$B$6))</f>
      </c>
    </row>
    <row r="7">
      <c r="A7" s="2" t="n"/>
      <c r="B7" s="2" t="n"/>
      <c r="C7" s="2" t="n"/>
      <c r="D7" s="2" t="n"/>
      <c r="E7" s="2" t="n"/>
    </row>
    <row r="8">
      <c r="A8" s="2" t="inlineStr">
        <is>
          <t>Reporting date</t>
        </is>
      </c>
      <c r="B8" s="6">
        <f>Control!B2</f>
      </c>
      <c r="C8" s="2" t="n"/>
      <c r="D8" s="2" t="n"/>
      <c r="E8" s="2" t="n"/>
    </row>
    <row r="9">
      <c r="A9" s="2" t="inlineStr">
        <is>
          <t>Scope</t>
        </is>
      </c>
      <c r="B9" s="2" t="inlineStr">
        <is>
          <t>All; overdue backlog only</t>
        </is>
      </c>
      <c r="C9" s="2" t="n"/>
      <c r="D9" s="2" t="n"/>
      <c r="E9" s="2" t="n"/>
    </row>
    <row r="10">
      <c r="A10" s="2" t="inlineStr">
        <is>
          <t>Interpretation</t>
        </is>
      </c>
      <c r="B10" s="2" t="inlineStr">
        <is>
          <t>Four categories first reach80%; counts show contribution, not cause.</t>
        </is>
      </c>
      <c r="C10" s="2" t="n"/>
      <c r="D10" s="2" t="n"/>
      <c r="E10" s="2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2026-10-13T16:29:11Z</dcterms:created>
  <dcterms:modified xmlns:dcterms="http://purl.org/dc/terms/" xmlns:xsi="http://www.w3.org/2001/XMLSchema-instance" xsi:type="dcterms:W3CDTF">2026-10-13T16:29:11Z</dcterms:modified>
</cp:coreProperties>
</file>