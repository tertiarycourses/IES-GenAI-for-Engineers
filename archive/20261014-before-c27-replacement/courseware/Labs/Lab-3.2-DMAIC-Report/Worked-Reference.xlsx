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_Data" sheetId="1" state="visible" r:id="rId1"/>
    <sheet xmlns:r="http://schemas.openxmlformats.org/officeDocument/2006/relationships" name="Pareto" sheetId="2" state="visible" r:id="rId2"/>
    <sheet xmlns:r="http://schemas.openxmlformats.org/officeDocument/2006/relationships" name="Copilot_Prompt"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00102B3E"/>
      <sz val="13"/>
    </font>
    <font>
      <i val="1"/>
      <color rgb="005A6B72"/>
      <sz val="8.5"/>
    </font>
    <font>
      <b val="1"/>
      <color rgb="00FFFFFF"/>
      <sz val="10.5"/>
    </font>
    <font>
      <b val="1"/>
      <color rgb="00102B3E"/>
    </font>
    <font>
      <b val="1"/>
    </font>
  </fonts>
  <fills count="3">
    <fill>
      <patternFill/>
    </fill>
    <fill>
      <patternFill patternType="gray125"/>
    </fill>
    <fill>
      <patternFill patternType="solid">
        <fgColor rgb="00078897"/>
      </patternFill>
    </fill>
  </fills>
  <borders count="2">
    <border>
      <left/>
      <right/>
      <top/>
      <bottom/>
      <diagonal/>
    </border>
    <border>
      <left style="thin">
        <color rgb="00C8D9DC"/>
      </left>
      <right style="thin">
        <color rgb="00C8D9DC"/>
      </right>
      <top style="thin">
        <color rgb="00C8D9DC"/>
      </top>
      <bottom style="thin">
        <color rgb="00C8D9D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0" fontId="0" fillId="0" borderId="1" pivotButton="0" quotePrefix="0" xfId="0"/>
    <xf numFmtId="0" fontId="4" fillId="0" borderId="0" pivotButton="0" quotePrefix="0" xfId="0"/>
    <xf numFmtId="0" fontId="5" fillId="0" borderId="0" pivotButton="0" quotePrefix="0" xfId="0"/>
    <xf numFmtId="2" fontId="0" fillId="0" borderId="0" pivotButton="0" quotePrefix="0" xfId="0"/>
    <xf numFmtId="164" fontId="0"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Pareto of baseline deviations</a:t>
            </a:r>
          </a:p>
        </rich>
      </tx>
    </title>
    <plotArea>
      <barChart>
        <barDir val="col"/>
        <grouping val="clustered"/>
        <ser>
          <idx val="0"/>
          <order val="0"/>
          <tx>
            <strRef>
              <f>'Pareto'!B4</f>
            </strRef>
          </tx>
          <spPr>
            <a:ln xmlns:a="http://schemas.openxmlformats.org/drawingml/2006/main">
              <a:prstDash val="solid"/>
            </a:ln>
          </spPr>
          <cat>
            <numRef>
              <f>'Pareto'!$A$5:$A$9</f>
            </numRef>
          </cat>
          <val>
            <numRef>
              <f>'Pareto'!$B$5:$B$9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3</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WeeklyData" displayName="WeeklyData" ref="A4:E10" headerRowCount="1">
  <autoFilter ref="A4:E10"/>
  <tableColumns count="5">
    <tableColumn id="1" name="Week"/>
    <tableColumn id="2" name="Phase"/>
    <tableColumn id="3" name="Opportunities"/>
    <tableColumn id="4" name="Deviations"/>
    <tableColumn id="5" name="Deviation rat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0" customWidth="1" min="1" max="1"/>
    <col width="14" customWidth="1" min="2" max="2"/>
    <col width="16" customWidth="1" min="3" max="3"/>
    <col width="14" customWidth="1" min="4" max="4"/>
    <col width="16" customWidth="1" min="5" max="5"/>
  </cols>
  <sheetData>
    <row r="1">
      <c r="A1" s="1" t="inlineStr">
        <is>
          <t>Lab 3.2 · DMAIC — CW-401 chemical dosing skid</t>
        </is>
      </c>
    </row>
    <row r="2">
      <c r="A2" s="2" t="inlineStr">
        <is>
          <t>Deviation rate = Deviations ÷ Opportunities. Three baseline weeks, three pilot weeks.</t>
        </is>
      </c>
    </row>
    <row r="4">
      <c r="A4" s="3" t="inlineStr">
        <is>
          <t>Week</t>
        </is>
      </c>
      <c r="B4" s="3" t="inlineStr">
        <is>
          <t>Phase</t>
        </is>
      </c>
      <c r="C4" s="3" t="inlineStr">
        <is>
          <t>Opportunities</t>
        </is>
      </c>
      <c r="D4" s="3" t="inlineStr">
        <is>
          <t>Deviations</t>
        </is>
      </c>
      <c r="E4" s="3" t="inlineStr">
        <is>
          <t>Deviation rate</t>
        </is>
      </c>
    </row>
    <row r="5">
      <c r="A5" s="4" t="inlineStr">
        <is>
          <t>W-01</t>
        </is>
      </c>
      <c r="B5" s="4" t="inlineStr">
        <is>
          <t>Baseline</t>
        </is>
      </c>
      <c r="C5" s="4" t="n">
        <v>140</v>
      </c>
      <c r="D5" s="4" t="n">
        <v>13</v>
      </c>
      <c r="E5" s="5">
        <f>D5/C5</f>
        <v/>
      </c>
    </row>
    <row r="6">
      <c r="A6" s="4" t="inlineStr">
        <is>
          <t>W-02</t>
        </is>
      </c>
      <c r="B6" s="4" t="inlineStr">
        <is>
          <t>Baseline</t>
        </is>
      </c>
      <c r="C6" s="4" t="n">
        <v>130</v>
      </c>
      <c r="D6" s="4" t="n">
        <v>12</v>
      </c>
      <c r="E6" s="5">
        <f>D6/C6</f>
        <v/>
      </c>
    </row>
    <row r="7">
      <c r="A7" s="4" t="inlineStr">
        <is>
          <t>W-03</t>
        </is>
      </c>
      <c r="B7" s="4" t="inlineStr">
        <is>
          <t>Baseline</t>
        </is>
      </c>
      <c r="C7" s="4" t="n">
        <v>130</v>
      </c>
      <c r="D7" s="4" t="n">
        <v>11</v>
      </c>
      <c r="E7" s="5">
        <f>D7/C7</f>
        <v/>
      </c>
    </row>
    <row r="8">
      <c r="A8" s="4" t="inlineStr">
        <is>
          <t>W-04</t>
        </is>
      </c>
      <c r="B8" s="4" t="inlineStr">
        <is>
          <t>Pilot</t>
        </is>
      </c>
      <c r="C8" s="4" t="n">
        <v>70</v>
      </c>
      <c r="D8" s="4" t="n">
        <v>3</v>
      </c>
      <c r="E8" s="5">
        <f>D8/C8</f>
        <v/>
      </c>
    </row>
    <row r="9">
      <c r="A9" s="4" t="inlineStr">
        <is>
          <t>W-05</t>
        </is>
      </c>
      <c r="B9" s="4" t="inlineStr">
        <is>
          <t>Pilot</t>
        </is>
      </c>
      <c r="C9" s="4" t="n">
        <v>65</v>
      </c>
      <c r="D9" s="4" t="n">
        <v>2</v>
      </c>
      <c r="E9" s="5">
        <f>D9/C9</f>
        <v/>
      </c>
    </row>
    <row r="10">
      <c r="A10" s="4" t="inlineStr">
        <is>
          <t>W-06</t>
        </is>
      </c>
      <c r="B10" s="4" t="inlineStr">
        <is>
          <t>Pilot</t>
        </is>
      </c>
      <c r="C10" s="4" t="n">
        <v>65</v>
      </c>
      <c r="D10" s="4" t="n">
        <v>2</v>
      </c>
      <c r="E10" s="5">
        <f>D10/C10</f>
        <v/>
      </c>
    </row>
    <row r="12">
      <c r="A12" s="6" t="inlineStr">
        <is>
          <t>Phase summary</t>
        </is>
      </c>
    </row>
    <row r="13">
      <c r="A13" s="3" t="inlineStr">
        <is>
          <t>Phase</t>
        </is>
      </c>
      <c r="B13" s="3" t="inlineStr">
        <is>
          <t>Opportunities</t>
        </is>
      </c>
      <c r="C13" s="3" t="inlineStr">
        <is>
          <t>Deviations</t>
        </is>
      </c>
      <c r="D13" s="3" t="inlineStr">
        <is>
          <t>Rate</t>
        </is>
      </c>
    </row>
    <row r="14">
      <c r="A14" s="4" t="inlineStr">
        <is>
          <t>Baseline</t>
        </is>
      </c>
      <c r="B14" s="4">
        <f>SUM(C5:C7)</f>
        <v/>
      </c>
      <c r="C14" s="4">
        <f>SUM(D5:D7)</f>
        <v/>
      </c>
      <c r="D14" s="5">
        <f>C14/B14</f>
        <v/>
      </c>
    </row>
    <row r="15">
      <c r="A15" s="4" t="inlineStr">
        <is>
          <t>Pilot</t>
        </is>
      </c>
      <c r="B15" s="4">
        <f>SUM(C8:C10)</f>
        <v/>
      </c>
      <c r="C15" s="4">
        <f>SUM(D8:D10)</f>
        <v/>
      </c>
      <c r="D15" s="5">
        <f>C15/B15</f>
        <v/>
      </c>
    </row>
    <row r="16">
      <c r="A16" s="7" t="inlineStr">
        <is>
          <t>Absolute change (percentage points)</t>
        </is>
      </c>
      <c r="D16" s="8">
        <f>(D14-D15)*100</f>
        <v/>
      </c>
    </row>
    <row r="18">
      <c r="A18" s="2" t="inlineStr">
        <is>
          <t>All records are fictional training data for classroom use. They describe no actual facility, person or organisation. Values are teaching assumptions, not approved design criteria. Do not use any output to operate, maintain or approve real equipment.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10" customWidth="1" min="2" max="2"/>
    <col width="16" customWidth="1" min="3" max="3"/>
  </cols>
  <sheetData>
    <row r="1">
      <c r="A1" s="1" t="inlineStr">
        <is>
          <t>Baseline deviation categories</t>
        </is>
      </c>
    </row>
    <row r="2">
      <c r="A2" s="2" t="inlineStr">
        <is>
          <t>Counts reconcile to the 36 baseline deviations.</t>
        </is>
      </c>
    </row>
    <row r="4">
      <c r="A4" s="3" t="inlineStr">
        <is>
          <t>Category</t>
        </is>
      </c>
      <c r="B4" s="3" t="inlineStr">
        <is>
          <t>Count</t>
        </is>
      </c>
      <c r="C4" s="3" t="inlineStr">
        <is>
          <t>Cumulative %</t>
        </is>
      </c>
    </row>
    <row r="5">
      <c r="A5" s="4" t="inlineStr">
        <is>
          <t>Dose below target</t>
        </is>
      </c>
      <c r="B5" s="4" t="n">
        <v>17</v>
      </c>
      <c r="C5" s="9">
        <f>SUM($B$5:B5)/SUM($B$5:$B$9)</f>
        <v/>
      </c>
    </row>
    <row r="6">
      <c r="A6" s="4" t="inlineStr">
        <is>
          <t>Flow reading disputed</t>
        </is>
      </c>
      <c r="B6" s="4" t="n">
        <v>9</v>
      </c>
      <c r="C6" s="9">
        <f>SUM($B$5:B6)/SUM($B$5:$B$9)</f>
        <v/>
      </c>
    </row>
    <row r="7">
      <c r="A7" s="4" t="inlineStr">
        <is>
          <t>Manual test not recorded</t>
        </is>
      </c>
      <c r="B7" s="4" t="n">
        <v>6</v>
      </c>
      <c r="C7" s="9">
        <f>SUM($B$5:B7)/SUM($B$5:$B$9)</f>
        <v/>
      </c>
    </row>
    <row r="8">
      <c r="A8" s="4" t="inlineStr">
        <is>
          <t>Strainer blocked</t>
        </is>
      </c>
      <c r="B8" s="4" t="n">
        <v>3</v>
      </c>
      <c r="C8" s="9">
        <f>SUM($B$5:B8)/SUM($B$5:$B$9)</f>
        <v/>
      </c>
    </row>
    <row r="9">
      <c r="A9" s="4" t="inlineStr">
        <is>
          <t>Other</t>
        </is>
      </c>
      <c r="B9" s="4" t="n">
        <v>1</v>
      </c>
      <c r="C9" s="9">
        <f>SUM($B$5:B9)/SUM($B$5:$B$9)</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8" customWidth="1" min="1" max="1"/>
  </cols>
  <sheetData>
    <row r="1">
      <c r="A1" s="1" t="inlineStr">
        <is>
          <t>Prompt for Copilot in Excel</t>
        </is>
      </c>
    </row>
    <row r="2">
      <c r="A2" s="2" t="inlineStr">
        <is>
          <t>Select the WeeklyData table before opening Copilot.</t>
        </is>
      </c>
    </row>
    <row r="4" ht="340" customHeight="1">
      <c r="A4" s="10" t="inlineStr">
        <is>
          <t>ROLE
Act as a Six Sigma project assistant preparing a draft for a competent reviewer.
INPUT
Use only the named Excel table WeeklyData and the category counts on the Pareto sheet.
Three weeks are Baseline and three are Pilot. Do not use outside knowledge.
STEPS
1. Calculate total opportunities, total deviations and the deviation rate for each phase,
   using deviations divided by opportunities. Show each formula and its result.
2. State the absolute change in percentage points between the phases.
3. Build the Pareto of baseline deviation categories with a cumulative percentage column
   and insert the Pareto chart.
4. Draft a five-row DMAIC summary: Define, Measure, Analyse, Improve, Control.
5. In Analyse, separate what the data shows from what is only a hypothesis.
ENGINEERING CONTEXT (E-MAP)
Engineering context: a chemical dosing skid whose delivered dose is checked weekly.
Metrics: deviation rate as deviations divided by opportunities, in percent, to two decimals.
Assumptions: the deviation definition is unchanged across all six weeks and every week
was counted the same way. State this assumption in the output.
Parameters: six weeks only, three per phase. No other period is in scope.
EXPECTATIONS
Show every formula, unit and row count so a reviewer can reproduce the numbers by hand.
State plainly that a three-week pilot does not prove the cause of the change and that two
concurrent changes cannot be separately attributed. Do not invent a root cause, a cost saving
or a completion percentage. Return one next evidence check.
End with DRAFT FOR REVIEW.
INDEPENDENT CHECK
Verify the baseline rate by hand: 36 divided by 400 = 9.00 percent.
Verify the pilot rate: 7 divided by 200 = 3.50 percent. The absolute change is 5.50
percentage points, not a 61 percent improvement claim.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2026-09-06T06:31:04Z</dcterms:created>
  <dcterms:modified xmlns:dcterms="http://purl.org/dc/terms/" xmlns:xsi="http://www.w3.org/2001/XMLSchema-instance" xsi:type="dcterms:W3CDTF">2026-09-06T06:31:04Z</dcterms:modified>
</cp:coreProperties>
</file>